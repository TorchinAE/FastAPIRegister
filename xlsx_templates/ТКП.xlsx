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200" yWindow="690" windowWidth="21600" windowHeight="11295" tabRatio="600" firstSheet="0" activeTab="0" autoFilterDateGrouping="1"/>
  </bookViews>
  <sheets>
    <sheet name="Лист1" sheetId="1" state="visible" r:id="rId1"/>
  </sheets>
  <definedNames>
    <definedName name="_xlnm.Print_Area" localSheetId="0">'Лист1'!$A$1:$E$30</definedName>
  </definedNames>
  <calcPr calcId="125725" fullCalcOnLoad="1"/>
</workbook>
</file>

<file path=xl/styles.xml><?xml version="1.0" encoding="utf-8"?>
<styleSheet xmlns="http://schemas.openxmlformats.org/spreadsheetml/2006/main">
  <numFmts count="1">
    <numFmt numFmtId="164" formatCode="_-* #,##0.00_р_._-;\-* #,##0.00_р_._-;_-* &quot;-&quot;??_р_._-;_-@_-"/>
  </numFmts>
  <fonts count="16">
    <font>
      <name val="Calibri"/>
      <charset val="204"/>
      <family val="2"/>
      <color theme="1"/>
      <sz val="11"/>
      <scheme val="minor"/>
    </font>
    <font>
      <name val="Verdana"/>
      <charset val="204"/>
      <family val="2"/>
      <b val="1"/>
      <sz val="10"/>
    </font>
    <font>
      <name val="Verdana"/>
      <charset val="204"/>
      <family val="2"/>
      <sz val="9"/>
    </font>
    <font>
      <name val="Calibri"/>
      <charset val="204"/>
      <family val="2"/>
      <color theme="1"/>
      <sz val="10"/>
      <scheme val="minor"/>
    </font>
    <font>
      <name val="Verdana"/>
      <charset val="204"/>
      <family val="2"/>
      <b val="1"/>
      <color theme="1"/>
      <sz val="11"/>
    </font>
    <font>
      <name val="Verdana"/>
      <charset val="204"/>
      <family val="2"/>
      <color theme="1"/>
      <sz val="8"/>
    </font>
    <font>
      <name val="Calibri"/>
      <charset val="204"/>
      <family val="2"/>
      <b val="1"/>
      <color theme="1"/>
      <sz val="10"/>
      <scheme val="minor"/>
    </font>
    <font>
      <name val="Verdana"/>
      <charset val="204"/>
      <family val="2"/>
      <b val="1"/>
      <color theme="1"/>
      <sz val="9"/>
    </font>
    <font>
      <name val="Verdana"/>
      <charset val="204"/>
      <family val="2"/>
      <color theme="1"/>
      <sz val="9"/>
    </font>
    <font>
      <name val="Verdana"/>
      <charset val="204"/>
      <family val="2"/>
      <b val="1"/>
      <color theme="1"/>
      <sz val="10"/>
    </font>
    <font>
      <name val="Calibri"/>
      <charset val="204"/>
      <family val="2"/>
      <b val="1"/>
      <sz val="10"/>
      <scheme val="minor"/>
    </font>
    <font>
      <name val="Calibri"/>
      <charset val="204"/>
      <family val="2"/>
      <sz val="10"/>
      <scheme val="minor"/>
    </font>
    <font>
      <name val="Verdana"/>
      <charset val="204"/>
      <family val="2"/>
      <color rgb="FFFF0000"/>
      <sz val="24"/>
    </font>
    <font>
      <name val="Verdana"/>
      <charset val="204"/>
      <family val="2"/>
      <b val="1"/>
      <color theme="1"/>
      <sz val="11"/>
      <u val="single"/>
    </font>
    <font>
      <name val="Verdana"/>
      <charset val="204"/>
      <family val="2"/>
      <b val="1"/>
      <color rgb="FFFF0000"/>
      <sz val="9"/>
      <u val="single"/>
    </font>
    <font>
      <name val="Calibri"/>
      <charset val="204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15" fillId="0" borderId="0"/>
    <xf numFmtId="164" fontId="15" fillId="0" borderId="0"/>
  </cellStyleXfs>
  <cellXfs count="61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0" fillId="0" borderId="0" pivotButton="0" quotePrefix="0" xfId="0"/>
    <xf numFmtId="0" fontId="5" fillId="0" borderId="0" pivotButton="0" quotePrefix="0" xfId="0"/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49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7" fillId="0" borderId="0" pivotButton="0" quotePrefix="0" xfId="0"/>
    <xf numFmtId="0" fontId="9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left" vertical="center" wrapText="1"/>
    </xf>
    <xf numFmtId="3" fontId="11" fillId="0" borderId="0" applyAlignment="1" pivotButton="0" quotePrefix="0" xfId="0">
      <alignment horizontal="center" vertical="center" wrapText="1"/>
    </xf>
    <xf numFmtId="3" fontId="10" fillId="2" borderId="1" applyAlignment="1" pivotButton="0" quotePrefix="0" xfId="0">
      <alignment horizontal="left" vertical="center" wrapText="1"/>
    </xf>
    <xf numFmtId="3" fontId="11" fillId="2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/>
    </xf>
    <xf numFmtId="0" fontId="9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14" fontId="9" fillId="0" borderId="0" applyAlignment="1" pivotButton="0" quotePrefix="0" xfId="0">
      <alignment horizontal="left"/>
    </xf>
    <xf numFmtId="0" fontId="5" fillId="0" borderId="0" pivotButton="0" quotePrefix="0" xfId="0"/>
    <xf numFmtId="0" fontId="5" fillId="0" borderId="0" pivotButton="0" quotePrefix="0" xfId="0"/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wrapText="1"/>
    </xf>
    <xf numFmtId="37" fontId="11" fillId="0" borderId="1" applyAlignment="1" pivotButton="0" quotePrefix="0" xfId="1">
      <alignment horizontal="center" vertical="center" wrapText="1"/>
    </xf>
    <xf numFmtId="37" fontId="3" fillId="0" borderId="1" applyAlignment="1" pivotButton="0" quotePrefix="0" xfId="1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wrapText="1"/>
    </xf>
    <xf numFmtId="0" fontId="2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 wrapText="1"/>
    </xf>
    <xf numFmtId="0" fontId="8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0" fillId="0" borderId="2" pivotButton="0" quotePrefix="0" xfId="0"/>
  </cellXfs>
  <cellStyles count="2">
    <cellStyle name="Обычный" xfId="0" builtinId="0"/>
    <cellStyle name="Финансовый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44824</xdr:colOff>
      <xdr:row>0</xdr:row>
      <xdr:rowOff>33617</xdr:rowOff>
    </xdr:from>
    <xdr:to>
      <xdr:col>4</xdr:col>
      <xdr:colOff>6163</xdr:colOff>
      <xdr:row>2</xdr:row>
      <xdr:rowOff>152399</xdr:rowOff>
    </xdr:to>
    <xdr:pic>
      <xdr:nvPicPr>
        <xdr:cNvPr id="3" name="Picture 520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2706" y="33617"/>
          <a:ext cx="5743575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Id="rIdTkpLogo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79"/>
  <sheetViews>
    <sheetView tabSelected="1" view="pageBreakPreview" topLeftCell="A4" zoomScale="85" zoomScaleNormal="100" zoomScaleSheetLayoutView="85" workbookViewId="0">
      <selection activeCell="B10" sqref="B10"/>
    </sheetView>
  </sheetViews>
  <sheetFormatPr baseColWidth="8" defaultRowHeight="15"/>
  <cols>
    <col width="8" customWidth="1" style="31" min="1" max="1"/>
    <col width="53.28515625" customWidth="1" style="31" min="2" max="2"/>
    <col width="12" customWidth="1" style="31" min="3" max="3"/>
    <col width="21.42578125" customWidth="1" style="31" min="4" max="5"/>
    <col width="14.7109375" bestFit="1" customWidth="1" style="31" min="7" max="7"/>
    <col width="13.28515625" bestFit="1" customWidth="1" style="31" min="8" max="8"/>
  </cols>
  <sheetData>
    <row r="1" ht="15" customHeight="1" s="31">
      <c r="C1" s="35" t="n"/>
      <c r="D1" s="35" t="n"/>
      <c r="E1" s="35" t="n"/>
    </row>
    <row r="2" ht="33" customHeight="1" s="31">
      <c r="B2" s="35" t="n"/>
      <c r="C2" s="35" t="n"/>
      <c r="D2" s="35" t="n"/>
      <c r="E2" s="35" t="n"/>
    </row>
    <row r="3">
      <c r="B3" s="35" t="n"/>
      <c r="C3" s="35" t="n"/>
      <c r="D3" s="35" t="n"/>
      <c r="E3" s="35" t="n"/>
    </row>
    <row r="4" ht="132" customHeight="1" s="31">
      <c r="B4" s="35" t="inlineStr">
        <is>
          <t>Наименование: ООО «ЭКТА»
ИНН 7715606459  КПП 771501001
ОГРН 1067746729170 ОТ 22.06.06
ОКПО 96022259
р/с 40702810838050107902 
в «ПАО Сбербанк России». г. Москва
к/с 30101810400000000225 БИК 044525225</t>
        </is>
      </c>
      <c r="C4" s="46" t="inlineStr">
        <is>
          <t xml:space="preserve">Юридический адрес:
127566, Г.МОСКВА,ВН.ТЕР.Г. МУНИЦИПАЛЬНЫЙ ОКРУГ АЛТУФЬЕВСКИЙ, Ш АЛТУФЬЕВСКОЕ, Д. 48 К. 3, ПОМЕЩ. 1/3
Тел/факс (499) 641-02-85 и (495) 234-72-22
Почтовый адрес:
153051, г.Иваново, Кохомское шоссе, д.1а
Тел/факс (4932) 93-98-53, 93-98-54
iv-info@ivn.ruelta.ru, www.ekta-electric.ru </t>
        </is>
      </c>
    </row>
    <row r="5">
      <c r="B5" s="35" t="n"/>
      <c r="C5" s="46" t="n"/>
    </row>
    <row r="6" ht="15" customHeight="1" s="31">
      <c r="A6" s="16" t="inlineStr">
        <is>
          <t>Исх.№</t>
        </is>
      </c>
      <c r="B6" s="26" t="inlineStr">
        <is>
          <t>№ от дата</t>
        </is>
      </c>
      <c r="C6" s="49" t="inlineStr">
        <is>
          <t>Заказчик</t>
        </is>
      </c>
    </row>
    <row r="7" ht="15" customHeight="1" s="31">
      <c r="A7" s="14" t="inlineStr">
        <is>
          <t>ВХ №</t>
        </is>
      </c>
      <c r="B7" s="28" t="n"/>
      <c r="C7" s="51" t="inlineStr">
        <is>
          <t>Должность</t>
        </is>
      </c>
    </row>
    <row r="8" s="31">
      <c r="B8" s="59" t="n"/>
      <c r="C8" s="45" t="inlineStr">
        <is>
          <t>ФИО РУКОВОДИТЕЛЯ</t>
        </is>
      </c>
    </row>
    <row r="9" s="31">
      <c r="A9" s="5" t="n"/>
      <c r="B9" s="5" t="n"/>
      <c r="C9" s="13" t="n"/>
      <c r="D9" s="5" t="n"/>
    </row>
    <row r="10" ht="17.25" customHeight="1" s="31">
      <c r="A10" s="5" t="n"/>
      <c r="B10" s="5" t="n"/>
      <c r="C10" s="5" t="n"/>
      <c r="D10" s="5" t="n"/>
      <c r="E10" s="13" t="n"/>
    </row>
    <row r="11">
      <c r="A11" s="48" t="inlineStr">
        <is>
          <t>Уважаемые Коллеги!</t>
        </is>
      </c>
    </row>
    <row r="12">
      <c r="A12" s="50" t="inlineStr">
        <is>
          <t>Наше предприятие может изготовить оборудование в составе:</t>
        </is>
      </c>
      <c r="B12" s="60" t="n"/>
      <c r="C12" s="60" t="n"/>
      <c r="D12" s="60" t="n"/>
      <c r="E12" s="60" t="n"/>
    </row>
    <row r="13" ht="39.75" customHeight="1" s="31">
      <c r="A13" s="33" t="inlineStr">
        <is>
          <t>№</t>
        </is>
      </c>
      <c r="B13" s="33" t="inlineStr">
        <is>
          <t>Наименование оборудования</t>
        </is>
      </c>
      <c r="C13" s="34" t="inlineStr">
        <is>
          <t>Кол-во, шт</t>
        </is>
      </c>
      <c r="D13" s="34" t="inlineStr">
        <is>
          <t>Цена за ед продукции без НДС, руб</t>
        </is>
      </c>
      <c r="E13" s="34" t="inlineStr">
        <is>
          <t>Стоимость без НДС, руб</t>
        </is>
      </c>
    </row>
    <row r="14" ht="25.5" customFormat="1" customHeight="1" s="38">
      <c r="A14" s="37" t="n"/>
      <c r="B14" s="39" t="inlineStr">
        <is>
          <t>Название блока, 
Строка: модуль</t>
        </is>
      </c>
      <c r="C14" s="37" t="n">
        <v>1</v>
      </c>
      <c r="D14" s="40" t="n">
        <v>0</v>
      </c>
      <c r="E14" s="41">
        <f>D14*C14</f>
        <v/>
      </c>
    </row>
    <row r="15">
      <c r="A15" s="33" t="n"/>
      <c r="B15" s="33" t="inlineStr">
        <is>
          <t>Раздел в составе:</t>
        </is>
      </c>
      <c r="C15" s="34" t="n"/>
      <c r="D15" s="34" t="n"/>
      <c r="E15" s="34" t="n"/>
    </row>
    <row r="16">
      <c r="A16" s="10" t="n"/>
      <c r="B16" s="24" t="n"/>
      <c r="C16" s="10" t="n"/>
      <c r="D16" s="22" t="inlineStr">
        <is>
          <t>Итого</t>
        </is>
      </c>
      <c r="E16" s="23">
        <f>SUM(E14:E15)</f>
        <v/>
      </c>
    </row>
    <row r="17">
      <c r="A17" s="11" t="n"/>
      <c r="B17" s="17" t="n"/>
      <c r="C17" s="18" t="n"/>
      <c r="D17" s="22" t="inlineStr">
        <is>
          <t>НДС 22%:</t>
        </is>
      </c>
      <c r="E17" s="23">
        <f>E16*0.22</f>
        <v/>
      </c>
    </row>
    <row r="18">
      <c r="A18" s="32" t="n"/>
      <c r="B18" s="19" t="n"/>
      <c r="C18" s="18" t="n"/>
      <c r="D18" s="22" t="inlineStr">
        <is>
          <t>Всего:</t>
        </is>
      </c>
      <c r="E18" s="23">
        <f>E16+E17</f>
        <v/>
      </c>
    </row>
    <row r="19">
      <c r="A19" s="32" t="n"/>
      <c r="B19" s="19" t="n"/>
      <c r="C19" s="18" t="n"/>
      <c r="D19" s="20" t="n"/>
      <c r="E19" s="21" t="n"/>
    </row>
    <row r="20" ht="28.5" customHeight="1" s="31">
      <c r="A20" s="36" t="n"/>
      <c r="B20" s="52" t="inlineStr">
        <is>
          <t>Условия оплаты: 70% предоплата, 30% перед отгрузкой оборудования
Срок изготовления оборудования 8-10 недель.</t>
        </is>
      </c>
    </row>
    <row r="21" ht="38.25" customHeight="1" s="31">
      <c r="A21" s="36" t="n"/>
      <c r="B21" s="54" t="inlineStr">
        <is>
          <t>Гарантийный срок составляет 24  месяца с момента ввода в эксплуатацию, но не более 30 месяцев с момента поставки. Гарантийный срок на установленные комплектующие других заводов 
в соответствии с паспортом на изделие.</t>
        </is>
      </c>
    </row>
    <row r="22">
      <c r="A22" s="36" t="n"/>
      <c r="B22" s="56" t="inlineStr">
        <is>
          <t>Срок действия ТКП 10 дней.</t>
        </is>
      </c>
    </row>
    <row r="23">
      <c r="A23" s="36" t="n"/>
      <c r="B23" s="57" t="inlineStr">
        <is>
          <t>Отгрузка из г. Иваново</t>
        </is>
      </c>
    </row>
    <row r="24">
      <c r="A24" s="58" t="n"/>
    </row>
    <row r="25" ht="13.5" customHeight="1" s="31">
      <c r="A25" s="59" t="inlineStr">
        <is>
          <t xml:space="preserve">           С уважением,</t>
        </is>
      </c>
    </row>
    <row r="26">
      <c r="A26" s="59" t="inlineStr">
        <is>
          <t xml:space="preserve">           Директор                                                                         А.В.Тихонов</t>
        </is>
      </c>
    </row>
    <row r="27" ht="17.25" customHeight="1" s="31">
      <c r="A27" s="47" t="n"/>
    </row>
    <row r="28">
      <c r="A28" s="30" t="inlineStr">
        <is>
          <t xml:space="preserve">Исп.: </t>
        </is>
      </c>
      <c r="B28" s="30" t="inlineStr">
        <is>
          <t>Торчин А.Е.</t>
        </is>
      </c>
      <c r="C28" s="30" t="n"/>
      <c r="D28" s="30" t="n"/>
      <c r="E28" s="30" t="n"/>
    </row>
    <row r="29">
      <c r="A29" s="30" t="inlineStr">
        <is>
          <t>Тел.:</t>
        </is>
      </c>
      <c r="B29" s="30" t="inlineStr">
        <is>
          <t>(4932) 93-98-53 доб 111</t>
        </is>
      </c>
      <c r="C29" s="30" t="n"/>
      <c r="D29" s="30" t="n"/>
      <c r="E29" s="30" t="n"/>
    </row>
    <row r="30">
      <c r="A30" s="30" t="n"/>
      <c r="B30" s="4" t="n"/>
      <c r="C30" s="10" t="n"/>
      <c r="D30" s="8" t="n"/>
      <c r="E30" s="8" t="n"/>
    </row>
    <row r="31">
      <c r="A31" s="32" t="n"/>
      <c r="B31" s="32" t="n"/>
      <c r="C31" s="10" t="n"/>
      <c r="D31" s="10" t="n"/>
      <c r="E31" s="10" t="n"/>
    </row>
    <row r="32">
      <c r="A32" s="32" t="n"/>
      <c r="B32" s="32" t="n"/>
      <c r="C32" s="10" t="n"/>
      <c r="D32" s="10" t="n"/>
      <c r="E32" s="10" t="n"/>
    </row>
    <row r="33">
      <c r="A33" s="32" t="n"/>
      <c r="B33" s="32" t="n"/>
      <c r="C33" s="10" t="n"/>
      <c r="D33" s="10" t="n"/>
      <c r="E33" s="10" t="n"/>
    </row>
    <row r="34">
      <c r="A34" s="32" t="n"/>
      <c r="B34" s="32" t="n"/>
      <c r="C34" s="10" t="n"/>
      <c r="D34" s="10" t="n"/>
      <c r="E34" s="10" t="n"/>
    </row>
    <row r="35">
      <c r="A35" s="32" t="n"/>
      <c r="B35" s="32" t="n"/>
      <c r="C35" s="10" t="n"/>
      <c r="D35" s="10" t="n"/>
      <c r="E35" s="10" t="n"/>
    </row>
    <row r="36">
      <c r="A36" s="32" t="n"/>
      <c r="B36" s="32" t="n"/>
      <c r="C36" s="10" t="n"/>
      <c r="D36" s="10" t="n"/>
      <c r="E36" s="10" t="n"/>
    </row>
    <row r="37">
      <c r="A37" s="32" t="n"/>
      <c r="B37" s="32" t="n"/>
      <c r="C37" s="10" t="n"/>
      <c r="D37" s="10" t="n"/>
      <c r="E37" s="10" t="n"/>
    </row>
    <row r="38">
      <c r="A38" s="32" t="n"/>
      <c r="B38" s="32" t="n"/>
      <c r="C38" s="10" t="n"/>
      <c r="D38" s="10" t="n"/>
      <c r="E38" s="10" t="n"/>
    </row>
    <row r="39">
      <c r="A39" s="32" t="n"/>
      <c r="B39" s="32" t="n"/>
      <c r="C39" s="10" t="n"/>
      <c r="D39" s="10" t="n"/>
      <c r="E39" s="10" t="n"/>
    </row>
    <row r="40">
      <c r="A40" s="32" t="n"/>
      <c r="B40" s="32" t="n"/>
      <c r="C40" s="10" t="n"/>
      <c r="D40" s="10" t="n"/>
      <c r="E40" s="10" t="n"/>
    </row>
    <row r="41">
      <c r="A41" s="32" t="n"/>
      <c r="B41" s="32" t="n"/>
      <c r="C41" s="10" t="n"/>
      <c r="D41" s="10" t="n"/>
      <c r="E41" s="10" t="n"/>
    </row>
    <row r="42">
      <c r="A42" s="32" t="n"/>
      <c r="B42" s="32" t="n"/>
      <c r="C42" s="10" t="n"/>
      <c r="D42" s="10" t="n"/>
      <c r="E42" s="10" t="n"/>
    </row>
    <row r="43">
      <c r="A43" s="32" t="n"/>
      <c r="B43" s="32" t="n"/>
      <c r="C43" s="10" t="n"/>
      <c r="D43" s="10" t="n"/>
      <c r="E43" s="10" t="n"/>
    </row>
    <row r="44">
      <c r="A44" s="32" t="n"/>
      <c r="B44" s="32" t="n"/>
      <c r="C44" s="10" t="n"/>
      <c r="D44" s="10" t="n"/>
      <c r="E44" s="10" t="n"/>
    </row>
    <row r="45">
      <c r="A45" s="32" t="n"/>
      <c r="B45" s="32" t="n"/>
      <c r="C45" s="10" t="n"/>
      <c r="D45" s="10" t="n"/>
      <c r="E45" s="10" t="n"/>
    </row>
    <row r="46">
      <c r="A46" s="32" t="n"/>
      <c r="B46" s="32" t="n"/>
      <c r="C46" s="10" t="n"/>
      <c r="D46" s="10" t="n"/>
      <c r="E46" s="10" t="n"/>
    </row>
    <row r="47">
      <c r="A47" s="32" t="n"/>
      <c r="B47" s="32" t="n"/>
      <c r="C47" s="10" t="n"/>
      <c r="D47" s="10" t="n"/>
      <c r="E47" s="10" t="n"/>
    </row>
    <row r="48">
      <c r="A48" s="32" t="n"/>
      <c r="B48" s="32" t="n"/>
      <c r="C48" s="10" t="n"/>
      <c r="D48" s="10" t="n"/>
      <c r="E48" s="10" t="n"/>
    </row>
    <row r="49">
      <c r="A49" s="32" t="n"/>
      <c r="B49" s="32" t="n"/>
      <c r="C49" s="10" t="n"/>
      <c r="D49" s="10" t="n"/>
      <c r="E49" s="10" t="n"/>
    </row>
    <row r="50">
      <c r="A50" s="32" t="n"/>
      <c r="B50" s="32" t="n"/>
      <c r="C50" s="10" t="n"/>
      <c r="D50" s="10" t="n"/>
      <c r="E50" s="10" t="n"/>
    </row>
    <row r="51">
      <c r="A51" s="32" t="n"/>
      <c r="B51" s="32" t="n"/>
      <c r="C51" s="10" t="n"/>
      <c r="D51" s="10" t="n"/>
      <c r="E51" s="10" t="n"/>
    </row>
    <row r="52">
      <c r="A52" s="32" t="n"/>
      <c r="B52" s="32" t="n"/>
      <c r="C52" s="10" t="n"/>
      <c r="D52" s="10" t="n"/>
      <c r="E52" s="10" t="n"/>
    </row>
    <row r="53">
      <c r="A53" s="32" t="n"/>
      <c r="B53" s="32" t="n"/>
      <c r="C53" s="10" t="n"/>
      <c r="D53" s="10" t="n"/>
      <c r="E53" s="10" t="n"/>
    </row>
    <row r="54">
      <c r="A54" s="32" t="n"/>
      <c r="B54" s="32" t="n"/>
      <c r="C54" s="10" t="n"/>
      <c r="D54" s="10" t="n"/>
      <c r="E54" s="10" t="n"/>
    </row>
    <row r="55">
      <c r="A55" s="32" t="n"/>
      <c r="B55" s="32" t="n"/>
      <c r="C55" s="10" t="n"/>
      <c r="D55" s="10" t="n"/>
      <c r="E55" s="10" t="n"/>
    </row>
    <row r="56">
      <c r="A56" s="32" t="n"/>
      <c r="B56" s="32" t="n"/>
      <c r="C56" s="10" t="n"/>
      <c r="D56" s="10" t="n"/>
      <c r="E56" s="10" t="n"/>
    </row>
    <row r="57">
      <c r="A57" s="32" t="n"/>
      <c r="B57" s="32" t="n"/>
      <c r="C57" s="10" t="n"/>
      <c r="D57" s="10" t="n"/>
      <c r="E57" s="10" t="n"/>
    </row>
    <row r="58">
      <c r="A58" s="32" t="n"/>
      <c r="B58" s="32" t="n"/>
      <c r="C58" s="10" t="n"/>
      <c r="D58" s="10" t="n"/>
      <c r="E58" s="10" t="n"/>
    </row>
    <row r="59">
      <c r="A59" s="32" t="n"/>
      <c r="B59" s="32" t="n"/>
      <c r="C59" s="10" t="n"/>
      <c r="D59" s="10" t="n"/>
      <c r="E59" s="10" t="n"/>
    </row>
    <row r="60">
      <c r="A60" s="32" t="n"/>
      <c r="B60" s="32" t="n"/>
      <c r="C60" s="10" t="n"/>
      <c r="D60" s="10" t="n"/>
      <c r="E60" s="10" t="n"/>
    </row>
    <row r="61">
      <c r="A61" s="32" t="n"/>
      <c r="B61" s="32" t="n"/>
      <c r="C61" s="10" t="n"/>
      <c r="D61" s="10" t="n"/>
      <c r="E61" s="10" t="n"/>
    </row>
    <row r="62">
      <c r="A62" s="32" t="n"/>
      <c r="B62" s="32" t="n"/>
      <c r="C62" s="10" t="n"/>
      <c r="D62" s="10" t="n"/>
      <c r="E62" s="10" t="n"/>
    </row>
    <row r="63">
      <c r="A63" s="32" t="n"/>
      <c r="B63" s="32" t="n"/>
      <c r="C63" s="10" t="n"/>
      <c r="D63" s="10" t="n"/>
      <c r="E63" s="10" t="n"/>
    </row>
    <row r="64">
      <c r="A64" s="32" t="n"/>
      <c r="B64" s="32" t="n"/>
      <c r="C64" s="10" t="n"/>
      <c r="D64" s="10" t="n"/>
      <c r="E64" s="10" t="n"/>
    </row>
    <row r="65">
      <c r="A65" s="32" t="n"/>
      <c r="B65" s="32" t="n"/>
      <c r="C65" s="10" t="n"/>
      <c r="D65" s="10" t="n"/>
      <c r="E65" s="10" t="n"/>
    </row>
    <row r="66">
      <c r="A66" s="32" t="n"/>
      <c r="B66" s="32" t="n"/>
      <c r="C66" s="10" t="n"/>
      <c r="D66" s="10" t="n"/>
      <c r="E66" s="10" t="n"/>
    </row>
    <row r="67">
      <c r="A67" s="32" t="n"/>
      <c r="B67" s="32" t="n"/>
      <c r="C67" s="10" t="n"/>
      <c r="D67" s="10" t="n"/>
      <c r="E67" s="10" t="n"/>
    </row>
    <row r="68">
      <c r="A68" s="32" t="n"/>
      <c r="B68" s="32" t="n"/>
      <c r="C68" s="10" t="n"/>
      <c r="D68" s="10" t="n"/>
      <c r="E68" s="10" t="n"/>
    </row>
    <row r="69">
      <c r="A69" s="32" t="n"/>
      <c r="B69" s="32" t="n"/>
      <c r="C69" s="10" t="n"/>
      <c r="D69" s="10" t="n"/>
      <c r="E69" s="10" t="n"/>
    </row>
    <row r="70">
      <c r="A70" s="32" t="n"/>
      <c r="B70" s="32" t="n"/>
      <c r="C70" s="10" t="n"/>
      <c r="D70" s="10" t="n"/>
      <c r="E70" s="10" t="n"/>
    </row>
    <row r="71">
      <c r="A71" s="32" t="n"/>
      <c r="B71" s="32" t="n"/>
      <c r="C71" s="10" t="n"/>
      <c r="D71" s="10" t="n"/>
      <c r="E71" s="10" t="n"/>
    </row>
    <row r="72">
      <c r="A72" s="32" t="n"/>
      <c r="B72" s="32" t="n"/>
      <c r="C72" s="10" t="n"/>
      <c r="D72" s="10" t="n"/>
      <c r="E72" s="10" t="n"/>
    </row>
    <row r="73">
      <c r="A73" s="32" t="n"/>
      <c r="B73" s="32" t="n"/>
      <c r="C73" s="10" t="n"/>
      <c r="D73" s="10" t="n"/>
      <c r="E73" s="10" t="n"/>
    </row>
    <row r="74">
      <c r="A74" s="32" t="n"/>
      <c r="B74" s="32" t="n"/>
      <c r="C74" s="10" t="n"/>
      <c r="D74" s="10" t="n"/>
      <c r="E74" s="10" t="n"/>
    </row>
    <row r="75">
      <c r="A75" s="32" t="n"/>
      <c r="B75" s="32" t="n"/>
      <c r="C75" s="10" t="n"/>
      <c r="D75" s="10" t="n"/>
      <c r="E75" s="10" t="n"/>
    </row>
    <row r="76">
      <c r="A76" s="32" t="n"/>
      <c r="B76" s="32" t="n"/>
      <c r="C76" s="10" t="n"/>
      <c r="D76" s="10" t="n"/>
      <c r="E76" s="10" t="n"/>
    </row>
    <row r="77">
      <c r="A77" s="32" t="n"/>
      <c r="B77" s="32" t="n"/>
      <c r="C77" s="10" t="n"/>
      <c r="D77" s="10" t="n"/>
      <c r="E77" s="10" t="n"/>
    </row>
    <row r="78">
      <c r="A78" s="32" t="n"/>
      <c r="B78" s="32" t="n"/>
      <c r="C78" s="10" t="n"/>
      <c r="D78" s="10" t="n"/>
      <c r="E78" s="10" t="n"/>
    </row>
    <row r="79"/>
  </sheetData>
  <mergeCells count="15">
    <mergeCell ref="A12:E12"/>
    <mergeCell ref="A26:E26"/>
    <mergeCell ref="A24:E24"/>
    <mergeCell ref="B21:E21"/>
    <mergeCell ref="A11:E11"/>
    <mergeCell ref="B20:E20"/>
    <mergeCell ref="C6:E6"/>
    <mergeCell ref="B23:E23"/>
    <mergeCell ref="C5:E5"/>
    <mergeCell ref="A25:E25"/>
    <mergeCell ref="C8:E8"/>
    <mergeCell ref="C4:E4"/>
    <mergeCell ref="C7:E7"/>
    <mergeCell ref="B22:E22"/>
    <mergeCell ref="A27:E27"/>
  </mergeCells>
  <printOptions horizontalCentered="1"/>
  <pageMargins left="0.2" right="0.22" top="0.34" bottom="0.36" header="0.3149606299212598" footer="0.3149606299212598"/>
  <pageSetup orientation="portrait" paperSize="9" scale="78"/>
  <drawing xmlns:r="http://schemas.openxmlformats.org/officeDocument/2006/relationships" r:id="rIdTkpLogo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2010-06-09T11:56:20Z</dcterms:created>
  <dcterms:modified xsi:type="dcterms:W3CDTF">2026-10-22T18:31:12Z</dcterms:modified>
  <cp:lastModifiedBy>Торчин Антон Евгеньевич</cp:lastModifiedBy>
  <cp:lastPrinted>2012-02-07T13:58:11Z</cp:lastPrinted>
</cp:coreProperties>
</file>