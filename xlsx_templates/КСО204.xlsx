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tables/table16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2.xml" ContentType="application/vnd.openxmlformats-officedocument.spreadsheetml.table+xml"/>
  <Override PartName="/xl/tables/table14.xml" ContentType="application/vnd.openxmlformats-officedocument.spreadsheetml.table+xml"/>
  <Default Extension="jpeg" ContentType="image/jpeg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16.xml" ContentType="application/vnd.openxmlformats-officedocument.spreadsheetml.query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queryTables/queryTable9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Cache/pivotCacheRecords1.xml" ContentType="application/vnd.openxmlformats-officedocument.spreadsheetml.pivotCacheRecords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Default Extension="bin" ContentType="application/vnd.openxmlformats-officedocument.spreadsheetml.printerSettings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15.xml" ContentType="application/vnd.openxmlformats-officedocument.spreadsheetml.table+xml"/>
  <Override PartName="/xl/tables/table1.xml" ContentType="application/vnd.openxmlformats-officedocument.spreadsheetml.table+xml"/>
  <Override PartName="/xl/tables/table1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ЭтаКнига" hidePivotFieldList="1" defaultThemeVersion="124226"/>
  <bookViews>
    <workbookView xWindow="0" yWindow="0" windowWidth="22815" windowHeight="10095" activeTab="1"/>
  </bookViews>
  <sheets>
    <sheet name="КСО-204" sheetId="5" r:id="rId1"/>
    <sheet name="Сводная информация" sheetId="3" r:id="rId2"/>
    <sheet name="Прайсы" sheetId="4" r:id="rId3"/>
    <sheet name="Лист3" sheetId="10" state="hidden" r:id="rId4"/>
    <sheet name="расчет" sheetId="6" r:id="rId5"/>
  </sheets>
  <definedNames>
    <definedName name="_xlnm._FilterDatabase" localSheetId="0" hidden="1">'КСО-204'!$A$6:$M$46</definedName>
    <definedName name="Блокуправления">Прайсы!$BC$3:$BC$7</definedName>
    <definedName name="Выкл">Прайсы!$CB$3:$CB$50</definedName>
    <definedName name="Доп">Прайсы!$CH$3:$CH$106</definedName>
    <definedName name="МПЗ">Прайсы!$AW$3:$AW$108</definedName>
    <definedName name="НомерСхемы">#REF!</definedName>
    <definedName name="ОПН">Прайсы!$AQ$3:$AQ$19</definedName>
    <definedName name="ПТ">Прайсы!$DF$3:$DF$4</definedName>
    <definedName name="Разъединитель">Прайсы!$L$3:$L$20</definedName>
    <definedName name="Регистрация_2012_год.accdb" localSheetId="2" hidden="1">Прайсы!$K$2:$T$20</definedName>
    <definedName name="Регистрация_2012_год.accdb_1" localSheetId="2" hidden="1">Прайсы!$A$2:$I$122</definedName>
    <definedName name="Регистрация_2012_год.accdb_10" localSheetId="2" hidden="1">Прайсы!$CA$2:$CE$50</definedName>
    <definedName name="Регистрация_2012_год.accdb_11" localSheetId="2" hidden="1">Прайсы!$CG$2:$CP$106</definedName>
    <definedName name="Регистрация_2012_год.accdb_12" localSheetId="2" hidden="1">Прайсы!$CR$2:$CU$73</definedName>
    <definedName name="Регистрация_2012_год.accdb_13" localSheetId="2" hidden="1">Прайсы!$CW$2:$DA$75</definedName>
    <definedName name="Регистрация_2012_год.accdb_14" localSheetId="2" hidden="1">Прайсы!$DE$2:$DJ$4</definedName>
    <definedName name="Регистрация_2012_год.accdb_15" localSheetId="2" hidden="1">Прайсы!$DL$2:$ED$33</definedName>
    <definedName name="Регистрация_2012_год.accdb_16" localSheetId="2" hidden="1">Прайсы!$EF$2:$EI$6</definedName>
    <definedName name="Регистрация_2012_год.accdb_2" localSheetId="2" hidden="1">Прайсы!$V$2:$AD$18</definedName>
    <definedName name="Регистрация_2012_год.accdb_3" localSheetId="2" hidden="1">Прайсы!$AF$2:$AN$21</definedName>
    <definedName name="Регистрация_2012_год.accdb_4" localSheetId="2" hidden="1">Прайсы!$AP$2:$AT$19</definedName>
    <definedName name="Регистрация_2012_год.accdb_5" localSheetId="2" hidden="1">Прайсы!$AV$2:$AZ$108</definedName>
    <definedName name="Регистрация_2012_год.accdb_6" localSheetId="2" hidden="1">Прайсы!$BB$2:$BE$7</definedName>
    <definedName name="Регистрация_2012_год.accdb_7" localSheetId="2" hidden="1">Прайсы!$BG$2:$BO$15</definedName>
    <definedName name="Регистрация_2012_год.accdb_8" localSheetId="2" hidden="1">Прайсы!$BQ$2:$BY$21</definedName>
    <definedName name="Регистрация_2012_год.accdb_9" localSheetId="2" hidden="1">Прайсы!#REF!</definedName>
    <definedName name="Счетчик10">Прайсы!$CX$3:$CX$75</definedName>
    <definedName name="ТН">Прайсы!$AG$3:$AG$21</definedName>
    <definedName name="Трансформатортока">Прайсы!$B$3:$B$122</definedName>
    <definedName name="ТСН">Прайсы!$BH$3:$BH$15</definedName>
    <definedName name="ТТнулевойпоследлвательности">Прайсы!$W$3:$W$18</definedName>
  </definedNames>
  <calcPr fullCalcOnLoad="1" calcId="125725"/>
  <customWorkbookViews>
    <customWorkbookView name="Admin - Личное представление" guid="{5008E907-E9F5-42FE-974D-2675828E0EC3}" mergeInterval="0" personalView="1" maximized="1" xWindow="1" yWindow="1" windowWidth="1440" windowHeight="679" activeSheetId="1"/>
  </customWorkbookViews>
  <pivotCaches>
    <pivotCache cacheId="0" r:id="rId6"/>
  </pivotCaches>
</workbook>
</file>

<file path=xl/comments1.xml><?xml version="1.0" encoding="utf-8"?>
<comments xmlns="http://schemas.openxmlformats.org/spreadsheetml/2006/main">
  <authors>
    <author>viktor</author>
  </authors>
  <commentList>
    <comment ref="EK2" authorId="0">
      <text>
        <r>
          <rPr>
            <b/>
            <sz val="9"/>
            <color indexed="81"/>
            <rFont val="Tahoma"/>
            <family val="2"/>
            <charset val="204"/>
          </rPr>
          <t>Если под одним номинальным током применяется несколько вариантов сечения ошиновки, то к ном. Току через дефиз добавляется номер (по возрастанию сечения)</t>
        </r>
      </text>
    </comment>
    <comment ref="EN2" authorId="0">
      <text>
        <r>
          <rPr>
            <b/>
            <sz val="9"/>
            <color indexed="81"/>
            <rFont val="Tahoma"/>
            <family val="2"/>
            <charset val="204"/>
          </rPr>
          <t>Если под одним номинальным током применяется несколько вариантов сечения ошиновки, то к ном. Току через дефиз добавляется номер (по возрастанию сечения)</t>
        </r>
      </text>
    </comment>
    <comment ref="EO2" authorId="0">
      <text>
        <r>
          <rPr>
            <b/>
            <sz val="9"/>
            <color indexed="81"/>
            <rFont val="Tahoma"/>
            <family val="2"/>
            <charset val="204"/>
          </rPr>
          <t>С учетом монтажа
(Монтаж + изоляторы)</t>
        </r>
      </text>
    </comment>
    <comment ref="EQ2" authorId="0">
      <text>
        <r>
          <rPr>
            <b/>
            <sz val="9"/>
            <color indexed="81"/>
            <rFont val="Tahoma"/>
            <family val="2"/>
            <charset val="204"/>
          </rPr>
          <t>Если под одним номинальным током применяется несколько вариантов сечения ошиновки, то к ном. Току через дефиз добавляется номер (по возрастанию сечения)</t>
        </r>
      </text>
    </comment>
    <comment ref="ET2" authorId="0">
      <text>
        <r>
          <rPr>
            <b/>
            <sz val="9"/>
            <color indexed="81"/>
            <rFont val="Tahoma"/>
            <family val="2"/>
            <charset val="204"/>
          </rPr>
          <t>Если под одним номинальным током применяется несколько вариантов сечения ошиновки, то к ном. Току через дефиз добавляется номер (по возрастанию сечения)</t>
        </r>
      </text>
    </comment>
    <comment ref="EU2" authorId="0">
      <text>
        <r>
          <rPr>
            <b/>
            <sz val="9"/>
            <color indexed="81"/>
            <rFont val="Tahoma"/>
            <family val="2"/>
            <charset val="204"/>
          </rPr>
          <t>С учетом монтажа
(Монтаж + изоляторы)</t>
        </r>
      </text>
    </comment>
  </commentList>
</comments>
</file>

<file path=xl/connections.xml><?xml version="1.0" encoding="utf-8"?>
<connections xmlns="http://schemas.openxmlformats.org/spreadsheetml/2006/main">
  <connection id="1" sourceFile="\\192.168.101.101\4_отдел_продаж\01_ТКП\01_ТКП_2012\Регистрация 2012 год.accdb" keepAlive="1" name="Регистрация 2012 год" type="5" refreshedVersion="3" background="1" saveData="1">
    <dbPr connection="Provider=Microsoft.ACE.OLEDB.12.0;User ID=Admin;Data Source=\\192.168.37.9\4_отдел_продаж\Регистрация 2012 год.accdb;Mode=Read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ТТ610" commandType="3"/>
  </connection>
  <connection id="2" sourceFile="\\192.168.101.101\4_отдел_продаж\01_ТКП\01_ТКП_2012\Регистрация 2012 год.accdb" keepAlive="1" name="Регистрация 2012 год1" type="5" refreshedVersion="3" background="1" saveData="1">
    <dbPr connection="Provider=Microsoft.ACE.OLEDB.12.0;User ID=Admin;Data Source=\\192.168.37.9\4_отдел_продаж\Регистрация 2012 год.accdb;Mode=Read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РВЗ" commandType="3"/>
  </connection>
  <connection id="3" sourceFile="\\192.168.101.101\4_отдел_продаж\01_ТКП\01_ТКП_2012\Регистрация 2012 год.accdb" keepAlive="1" name="Регистрация 2012 год10" type="5" refreshedVersion="3" background="1" saveData="1">
    <dbPr connection="Provider=Microsoft.ACE.OLEDB.12.0;User ID=Admin;Data Source=\\192.168.37.9\4_отдел_продаж\Регистрация 2012 год.accdb;Mode=Read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Выкл" commandType="3"/>
  </connection>
  <connection id="4" sourceFile="\\192.168.101.101\4_отдел_продаж\01_ТКП\01_ТКП_2012\Регистрация 2012 год.accdb" keepAlive="1" name="Регистрация 2012 год11" type="5" refreshedVersion="3" background="1" saveData="1">
    <dbPr connection="Provider=Microsoft.ACE.OLEDB.12.0;User ID=Admin;Data Source=\\192.168.37.9\4_отдел_продаж\Регистрация 2012 год.accdb;Mode=Read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Доп" commandType="3"/>
  </connection>
  <connection id="5" sourceFile="\\192.168.101.101\4_отдел_продаж\01_ТКП\01_ТКП_2012\Регистрация 2012 год.accdb" keepAlive="1" name="Регистрация 2012 год12" type="5" refreshedVersion="3" background="1" saveData="1">
    <dbPr connection="Provider=Microsoft.ACE.OLEDB.12.0;User ID=Admin;Data Source=\\192.168.37.9\4_отдел_продаж\Регистрация 2012 год.accdb;Mode=Read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Накладные" commandType="3"/>
  </connection>
  <connection id="6" sourceFile="\\192.168.101.101\4_отдел_продаж\01_ТКП\01_ТКП_2012\Регистрация 2012 год.accdb" keepAlive="1" name="Регистрация 2012 год13" type="5" refreshedVersion="3" background="1" saveData="1">
    <dbPr connection="Provider=Microsoft.ACE.OLEDB.12.0;User ID=Admin;Data Source=\\192.168.37.9\4_отдел_продаж\Регистрация 2012 год.accdb;Mode=Read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ПТ" commandType="3"/>
  </connection>
  <connection id="7" sourceFile="C:\WORK\СБЫТ\Регистрация 2012 год.accdb" keepAlive="1" name="Регистрация 2012 год14" type="5" refreshedVersion="3" background="1" refreshOnLoad="1" saveData="1">
    <dbPr connection="Provider=Microsoft.ACE.OLEDB.12.0;User ID=Admin;Data Source=\\192.168.37.9\4_отдел_продаж\Регистрация 2012 год.accdb;Mode=Read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КСОисх" commandType="3"/>
  </connection>
  <connection id="8" sourceFile="C:\WORK\СБЫТ\Регистрация 2012 год.accdb" keepAlive="1" name="Регистрация 2012 год15" type="5" refreshedVersion="3" background="1" saveData="1">
    <dbPr connection="Provider=Microsoft.ACE.OLEDB.12.0;User ID=Admin;Data Source=\\192.168.37.9\4_отдел_продаж\Регистрация 2012 год.accdb;Mode=Read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Шина" commandType="3"/>
  </connection>
  <connection id="9" sourceFile="\\192.168.101.101\4_отдел_продаж\01_ТКП\01_ТКП_2012\Регистрация 2012 год.accdb" keepAlive="1" name="Регистрация 2012 год2" type="5" refreshedVersion="3" background="1" saveData="1">
    <dbPr connection="Provider=Microsoft.ACE.OLEDB.12.0;User ID=Admin;Data Source=\\192.168.37.9\4_отдел_продаж\Регистрация 2012 год.accdb;Mode=Read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ТТНП" commandType="3"/>
  </connection>
  <connection id="10" sourceFile="\\192.168.101.101\4_отдел_продаж\01_ТКП\01_ТКП_2012\Регистрация 2012 год.accdb" keepAlive="1" name="Регистрация 2012 год3" type="5" refreshedVersion="3" background="1" saveData="1">
    <dbPr connection="Provider=Microsoft.ACE.OLEDB.12.0;User ID=Admin;Data Source=\\192.168.37.9\4_отдел_продаж\Регистрация 2012 год.accdb;Mode=Read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ТН" commandType="3"/>
  </connection>
  <connection id="11" sourceFile="\\192.168.101.101\4_отдел_продаж\01_ТКП\01_ТКП_2012\Регистрация 2012 год.accdb" keepAlive="1" name="Регистрация 2012 год4" type="5" refreshedVersion="3" background="1" saveData="1">
    <dbPr connection="Provider=Microsoft.ACE.OLEDB.12.0;User ID=Admin;Data Source=\\192.168.37.9\4_отдел_продаж\Регистрация 2012 год.accdb;Mode=Read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ОПН" commandType="3"/>
  </connection>
  <connection id="12" sourceFile="\\192.168.101.101\4_отдел_продаж\01_ТКП\01_ТКП_2012\Регистрация 2012 год.accdb" keepAlive="1" name="Регистрация 2012 год5" type="5" refreshedVersion="3" background="1" saveData="1">
    <dbPr connection="Provider=Microsoft.ACE.OLEDB.12.0;User ID=Admin;Data Source=\\192.168.37.9\4_отдел_продаж\Регистрация 2012 год.accdb;Mode=Read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МПЗ" commandType="3"/>
  </connection>
  <connection id="13" sourceFile="\\192.168.101.101\4_отдел_продаж\01_ТКП\01_ТКП_2012\Регистрация 2012 год.accdb" keepAlive="1" name="Регистрация 2012 год6" type="5" refreshedVersion="3" background="1" saveData="1">
    <dbPr connection="Provider=Microsoft.ACE.OLEDB.12.0;User ID=Admin;Data Source=\\192.168.37.9\4_отдел_продаж\Регистрация 2012 год.accdb;Mode=Read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БУ" commandType="3"/>
  </connection>
  <connection id="14" sourceFile="\\192.168.101.101\4_отдел_продаж\01_ТКП\01_ТКП_2012\Регистрация 2012 год.accdb" keepAlive="1" name="Регистрация 2012 год7" type="5" refreshedVersion="3" background="1" saveData="1">
    <dbPr connection="Provider=Microsoft.ACE.OLEDB.12.0;User ID=Admin;Data Source=\\192.168.37.9\4_отдел_продаж\Регистрация 2012 год.accdb;Mode=Read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ТСН" commandType="3"/>
  </connection>
  <connection id="15" sourceFile="\\192.168.101.101\4_отдел_продаж\01_ТКП\01_ТКП_2012\Регистрация 2012 год.accdb" keepAlive="1" name="Регистрация 2012 год8" type="5" refreshedVersion="3" background="1" saveData="1">
    <dbPr connection="Provider=Microsoft.ACE.OLEDB.12.0;User ID=Admin;Data Source=\\192.168.37.9\4_отдел_продаж\Регистрация 2012 год.accdb;Mode=Read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ТН" commandType="3"/>
  </connection>
  <connection id="16" sourceFile="\\192.168.101.101\4_отдел_продаж\01_ТКП\01_ТКП_2012\Регистрация 2012 год.accdb" keepAlive="1" name="Регистрация 2012 год9" type="5" refreshedVersion="3" background="1" saveData="1">
    <dbPr connection="Provider=Microsoft.ACE.OLEDB.12.0;User ID=Admin;Data Source=\\192.168.37.9\4_отдел_продаж\Регистрация 2012 год.accdb;Mode=Read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Счетчик10" commandType="3"/>
  </connection>
</connections>
</file>

<file path=xl/sharedStrings.xml><?xml version="1.0" encoding="utf-8"?>
<sst xmlns="http://schemas.openxmlformats.org/spreadsheetml/2006/main" count="1767" uniqueCount="957">
  <si>
    <t>ТН</t>
  </si>
  <si>
    <t>кол-во</t>
  </si>
  <si>
    <t>тип</t>
  </si>
  <si>
    <t>Разъединитель</t>
  </si>
  <si>
    <t>МПЗ</t>
  </si>
  <si>
    <t>ОПН</t>
  </si>
  <si>
    <t>Трансформатортока</t>
  </si>
  <si>
    <t>ТТнулевойпоследлвательности</t>
  </si>
  <si>
    <t>Блокуправления</t>
  </si>
  <si>
    <t>8ВВ</t>
  </si>
  <si>
    <t>8.1ВВ</t>
  </si>
  <si>
    <t>6ВВ</t>
  </si>
  <si>
    <t>6.1ВВ</t>
  </si>
  <si>
    <t>7ВВ</t>
  </si>
  <si>
    <t>цена</t>
  </si>
  <si>
    <t>1ВВ</t>
  </si>
  <si>
    <t>цены на 28.07.11</t>
  </si>
  <si>
    <t>ТСН</t>
  </si>
  <si>
    <t>4.1ВВ</t>
  </si>
  <si>
    <t>5ВВ</t>
  </si>
  <si>
    <t>Комплектация</t>
  </si>
  <si>
    <t>№</t>
  </si>
  <si>
    <t>Наименование оборудования</t>
  </si>
  <si>
    <t>Кол-во,
 шт</t>
  </si>
  <si>
    <t>Цена за ед. продукции без НДС, руб</t>
  </si>
  <si>
    <t>Стоимость без НДС, руб</t>
  </si>
  <si>
    <t>Комплектация без НДС</t>
  </si>
  <si>
    <t>Стоимость комплектации без НДС, руб</t>
  </si>
  <si>
    <t>без НДС</t>
  </si>
  <si>
    <t>ТТ</t>
  </si>
  <si>
    <t>БУ</t>
  </si>
  <si>
    <t>дата</t>
  </si>
  <si>
    <t xml:space="preserve">№ </t>
  </si>
  <si>
    <t xml:space="preserve">Заказчик / Название объекта: </t>
  </si>
  <si>
    <t>название организации</t>
  </si>
  <si>
    <t>должность</t>
  </si>
  <si>
    <t>ФИО</t>
  </si>
  <si>
    <t>подпись</t>
  </si>
  <si>
    <t>тел. / факс</t>
  </si>
  <si>
    <t>Тип камеры КСО</t>
  </si>
  <si>
    <t>Запрашиваемые данные</t>
  </si>
  <si>
    <t>Ответы заказчика</t>
  </si>
  <si>
    <t>Номер камеры по плану</t>
  </si>
  <si>
    <t>Номер схемы главных цепей</t>
  </si>
  <si>
    <t>Номинальное напряжение, кВ</t>
  </si>
  <si>
    <t>Номинальный ток сборных шин, А</t>
  </si>
  <si>
    <t>Ток к.з. на сборных шинах, кА</t>
  </si>
  <si>
    <r>
      <t xml:space="preserve">Схемы первичных соединений      
 (однолинейная схема)         
</t>
    </r>
    <r>
      <rPr>
        <b/>
        <i/>
        <sz val="14"/>
        <color indexed="57"/>
        <rFont val="Times New Roman"/>
        <family val="1"/>
        <charset val="204"/>
      </rPr>
      <t xml:space="preserve"> выбирются автоматически</t>
    </r>
  </si>
  <si>
    <t>Назначение камер</t>
  </si>
  <si>
    <t>Номер схемы вспомогательных цепей</t>
  </si>
  <si>
    <t xml:space="preserve">Выключатель </t>
  </si>
  <si>
    <t>Трансформатор тока (ТПОЛ, ТОЛ)</t>
  </si>
  <si>
    <t>коэф. транс.</t>
  </si>
  <si>
    <t>Трансформатор тока нулевой последовательности</t>
  </si>
  <si>
    <t>Трансформатор напряжения</t>
  </si>
  <si>
    <t>Трансформатор собственных нужд</t>
  </si>
  <si>
    <t>Предохранитель, тип</t>
  </si>
  <si>
    <t>ОПН (ОПН-РТ/TEL)</t>
  </si>
  <si>
    <t xml:space="preserve">Элементы электромагнитной блокировки </t>
  </si>
  <si>
    <t>ВП-19</t>
  </si>
  <si>
    <t>ЗБ-1М</t>
  </si>
  <si>
    <t>Cчетчик учёта ЭЭ, тип</t>
  </si>
  <si>
    <t>Микропроцессорные реле</t>
  </si>
  <si>
    <t>Кабель</t>
  </si>
  <si>
    <t>Согласование:</t>
  </si>
  <si>
    <t>Заказчик</t>
  </si>
  <si>
    <t>Производитель</t>
  </si>
  <si>
    <t>«____»  ____________  _20___г</t>
  </si>
  <si>
    <t>М.П.</t>
  </si>
  <si>
    <t>Дополнительно</t>
  </si>
  <si>
    <t>Шинный разъединитель</t>
  </si>
  <si>
    <t>Линейный разъединитель</t>
  </si>
  <si>
    <t>2</t>
  </si>
  <si>
    <t>3</t>
  </si>
  <si>
    <t>4</t>
  </si>
  <si>
    <t>8</t>
  </si>
  <si>
    <t>оборудование</t>
  </si>
  <si>
    <t>комплектация</t>
  </si>
  <si>
    <t>описание</t>
  </si>
  <si>
    <t>Рвз</t>
  </si>
  <si>
    <t>вв</t>
  </si>
  <si>
    <t>рвз</t>
  </si>
  <si>
    <t>опн</t>
  </si>
  <si>
    <t>олсп</t>
  </si>
  <si>
    <t>тн</t>
  </si>
  <si>
    <t>24.1</t>
  </si>
  <si>
    <t>1-св</t>
  </si>
  <si>
    <t>2-ср</t>
  </si>
  <si>
    <t>3-шсн</t>
  </si>
  <si>
    <t>28.3А</t>
  </si>
  <si>
    <t>ШСН</t>
  </si>
  <si>
    <t>Проверка цен</t>
  </si>
  <si>
    <t>ПКТ</t>
  </si>
  <si>
    <t>4-393 с ВНА</t>
  </si>
  <si>
    <t>за 3 шт</t>
  </si>
  <si>
    <t>5-393 c РВЗ</t>
  </si>
  <si>
    <t>11</t>
  </si>
  <si>
    <t>14</t>
  </si>
  <si>
    <t>кол-во дней цене</t>
  </si>
  <si>
    <t>Ном. Ток</t>
  </si>
  <si>
    <t>Сечение (Сu)</t>
  </si>
  <si>
    <t>Вес 1 п/м, кг</t>
  </si>
  <si>
    <t>Цена 1 п/м (фазы)</t>
  </si>
  <si>
    <t>Сечение (Al)</t>
  </si>
  <si>
    <t>Cu</t>
  </si>
  <si>
    <t>4х40 (Ал)</t>
  </si>
  <si>
    <t>AL</t>
  </si>
  <si>
    <t xml:space="preserve">4х30  (Сu) </t>
  </si>
  <si>
    <t xml:space="preserve">5х40 (Сu) </t>
  </si>
  <si>
    <t>5х50 (Ал)</t>
  </si>
  <si>
    <t>8х60 (Ал)</t>
  </si>
  <si>
    <t>6х60 (Сu)</t>
  </si>
  <si>
    <t>630/1000</t>
  </si>
  <si>
    <t>Cu1600</t>
  </si>
  <si>
    <t>Cu630</t>
  </si>
  <si>
    <t>Cu1000</t>
  </si>
  <si>
    <t>КСО-204м</t>
  </si>
  <si>
    <t>2ВВ</t>
  </si>
  <si>
    <t>9-400</t>
  </si>
  <si>
    <t>31-400</t>
  </si>
  <si>
    <t>8.4ВВ</t>
  </si>
  <si>
    <t>КСО-393</t>
  </si>
  <si>
    <t>КСО-204</t>
  </si>
  <si>
    <t>7.1ВВ</t>
  </si>
  <si>
    <t>13-400</t>
  </si>
  <si>
    <t>14-400</t>
  </si>
  <si>
    <t>15-400</t>
  </si>
  <si>
    <t>10-400</t>
  </si>
  <si>
    <t>3О</t>
  </si>
  <si>
    <t>3У</t>
  </si>
  <si>
    <t>3.1У</t>
  </si>
  <si>
    <t>3УО</t>
  </si>
  <si>
    <t>3.1УО</t>
  </si>
  <si>
    <t>КСО-39310000000</t>
  </si>
  <si>
    <t>КСО-39310000001</t>
  </si>
  <si>
    <t>КСО-39310200000</t>
  </si>
  <si>
    <t>КСО-39310300000</t>
  </si>
  <si>
    <t>КСО-39310200001</t>
  </si>
  <si>
    <t>КСО-39310300001</t>
  </si>
  <si>
    <t>КСО-39310200010</t>
  </si>
  <si>
    <t>4У</t>
  </si>
  <si>
    <t>КСО-39310000011</t>
  </si>
  <si>
    <t>КСО-39310000000РВЗ</t>
  </si>
  <si>
    <t>КСО-39310000000РВЗСР</t>
  </si>
  <si>
    <t>КСО-20411200000РВЗСВ</t>
  </si>
  <si>
    <t>КСО-20411200000РВЗ</t>
  </si>
  <si>
    <t>КСО-20411210100РВЗ</t>
  </si>
  <si>
    <t>КСО-20411210000РВЗ</t>
  </si>
  <si>
    <t>КСО-20411310000РВЗ</t>
  </si>
  <si>
    <t>КСО-20411300000РВЗ</t>
  </si>
  <si>
    <t>КСО-20411300000РВЗСВ</t>
  </si>
  <si>
    <t>КСО-20411210101РВЗ</t>
  </si>
  <si>
    <t>КСО-20411210001РВЗ</t>
  </si>
  <si>
    <t>КСО-20411310001РВЗ</t>
  </si>
  <si>
    <t>КСО-20410000010РВЗ</t>
  </si>
  <si>
    <t>КСО-20400010000ЗСШ</t>
  </si>
  <si>
    <t>КСО-20410011001РВЗТН</t>
  </si>
  <si>
    <t>КСО-20410000000РВЗСР</t>
  </si>
  <si>
    <t>КСО-20410001001РВЗТН</t>
  </si>
  <si>
    <t>КСО-20410000000РВЗСР+</t>
  </si>
  <si>
    <t>КСО-20410000110РВЗТСН</t>
  </si>
  <si>
    <t>КСО-20410010000РВЗ</t>
  </si>
  <si>
    <t>КСО-39311211001</t>
  </si>
  <si>
    <t>12.1</t>
  </si>
  <si>
    <t>8КУ</t>
  </si>
  <si>
    <t>КСО-39310011001РВЗ</t>
  </si>
  <si>
    <t>3НПО</t>
  </si>
  <si>
    <t>КСО-20411211001</t>
  </si>
  <si>
    <t>КСО-20411311001</t>
  </si>
  <si>
    <t>7.4ВВ</t>
  </si>
  <si>
    <t>КСО-211</t>
  </si>
  <si>
    <t>КСО-21101210000</t>
  </si>
  <si>
    <t>КСО-21101310000</t>
  </si>
  <si>
    <t>КСО-21101210000СВ</t>
  </si>
  <si>
    <t>КСО-21101310000СВ</t>
  </si>
  <si>
    <t>КСО-21101210100</t>
  </si>
  <si>
    <t>КСО-21101210101</t>
  </si>
  <si>
    <t>КСО-21101310001</t>
  </si>
  <si>
    <t>КСО-21101210001</t>
  </si>
  <si>
    <t>КСО-21101010000СР</t>
  </si>
  <si>
    <t>КСО-21101011001ТН</t>
  </si>
  <si>
    <t>КСО-21101010110ТСН</t>
  </si>
  <si>
    <t>КСО-39310000010</t>
  </si>
  <si>
    <t>КСО-39310001000ТН</t>
  </si>
  <si>
    <t>КФОТ</t>
  </si>
  <si>
    <t>Кнакладные</t>
  </si>
  <si>
    <t>расшифровка
позиций
1/0</t>
  </si>
  <si>
    <t>КСО-39310001000РВЗТН</t>
  </si>
  <si>
    <t>11Н</t>
  </si>
  <si>
    <t xml:space="preserve">Накладные </t>
  </si>
  <si>
    <t>ФОТ</t>
  </si>
  <si>
    <t>код для подбора номера схемы</t>
  </si>
  <si>
    <t>Код схемы</t>
  </si>
  <si>
    <t>Тип ячейки</t>
  </si>
  <si>
    <t>Сборная</t>
  </si>
  <si>
    <t>стоимость</t>
  </si>
  <si>
    <t>оборудование2</t>
  </si>
  <si>
    <t>стоимость3</t>
  </si>
  <si>
    <t>оборудование4</t>
  </si>
  <si>
    <t>стоимость5</t>
  </si>
  <si>
    <t>оборудование6</t>
  </si>
  <si>
    <t>стоимость7</t>
  </si>
  <si>
    <t>оборудование8</t>
  </si>
  <si>
    <t>стоимость9</t>
  </si>
  <si>
    <t>оборудование10</t>
  </si>
  <si>
    <t>стоимость11</t>
  </si>
  <si>
    <t>оборудование12</t>
  </si>
  <si>
    <t>стоимость13</t>
  </si>
  <si>
    <t>оборудование14</t>
  </si>
  <si>
    <t>стоимость15</t>
  </si>
  <si>
    <t>оборудование16</t>
  </si>
  <si>
    <t>стоимость17</t>
  </si>
  <si>
    <t>оборудование18</t>
  </si>
  <si>
    <t>стоимость19</t>
  </si>
  <si>
    <t>3хЗНОЛП-ЭК-10 М1ТА</t>
  </si>
  <si>
    <t>Количество</t>
  </si>
  <si>
    <t>Оборудование</t>
  </si>
  <si>
    <t>Стоимость</t>
  </si>
  <si>
    <t>Общий итог</t>
  </si>
  <si>
    <t xml:space="preserve">Количество </t>
  </si>
  <si>
    <t>Стоимость за ед</t>
  </si>
  <si>
    <t xml:space="preserve"> </t>
  </si>
  <si>
    <t>Применяемое оборудование</t>
  </si>
  <si>
    <t>Общая стоимость по объекту</t>
  </si>
  <si>
    <t>Для обновления данных таблицы оборудования нажми правой кнопкой на таблице -&gt;ОБНОВИТЬ</t>
  </si>
  <si>
    <t>13442-ив</t>
  </si>
  <si>
    <t>АО НижНовэнерго, Дзержинский РЭС, Зефс</t>
  </si>
  <si>
    <t>ООО_ЭТК_Союз</t>
  </si>
  <si>
    <t>Сахончик Василий Николаевич</t>
  </si>
  <si>
    <t>8-920-056-79-85, (831)433 63 88</t>
  </si>
  <si>
    <t>Код</t>
  </si>
  <si>
    <t>Имя</t>
  </si>
  <si>
    <t>Цена</t>
  </si>
  <si>
    <t>Дата</t>
  </si>
  <si>
    <t>Цена AL. за 1 кг</t>
  </si>
  <si>
    <t>Цена Cu за 1 кг</t>
  </si>
  <si>
    <t>Монтаж СШ (Ал.)</t>
  </si>
  <si>
    <t>Монтаж СШ (Сu)</t>
  </si>
  <si>
    <t>КодСхема</t>
  </si>
  <si>
    <t>ТИП</t>
  </si>
  <si>
    <t>Схема</t>
  </si>
  <si>
    <t>Назначение</t>
  </si>
  <si>
    <t>ШР</t>
  </si>
  <si>
    <t>Вакуумник</t>
  </si>
  <si>
    <t>колТТ</t>
  </si>
  <si>
    <t>ЛР</t>
  </si>
  <si>
    <t>Счетчик</t>
  </si>
  <si>
    <t>ПТ</t>
  </si>
  <si>
    <t>ТТНП</t>
  </si>
  <si>
    <t>Линия</t>
  </si>
  <si>
    <t>РВЗ-10/630</t>
  </si>
  <si>
    <t>ESQ ВВ(F)-12-25/630</t>
  </si>
  <si>
    <t>АГАТ 200. А</t>
  </si>
  <si>
    <t>ТЛО-10 600/5 0,5/10P</t>
  </si>
  <si>
    <t>ТЗЛК-0,66-70</t>
  </si>
  <si>
    <t>СВ</t>
  </si>
  <si>
    <t>АГАТ 200. АВ</t>
  </si>
  <si>
    <t>Ввод</t>
  </si>
  <si>
    <t>ОЛСП1,25М2</t>
  </si>
  <si>
    <t>ОПН РТ/TEL 10/11,5</t>
  </si>
  <si>
    <t>3хПатрон ПТ</t>
  </si>
  <si>
    <t>10</t>
  </si>
  <si>
    <t>ВНА-10/630п с ПР-10</t>
  </si>
  <si>
    <t>12-630ТН</t>
  </si>
  <si>
    <t>АГАТ 200. В</t>
  </si>
  <si>
    <t>РВФЗ-10/630</t>
  </si>
  <si>
    <t>3хЗНОЛП-ЭК-10 М1Т</t>
  </si>
  <si>
    <t>12.1-630ТН</t>
  </si>
  <si>
    <t>13-400ТН</t>
  </si>
  <si>
    <t>ЗР-10</t>
  </si>
  <si>
    <t>14-400ТН</t>
  </si>
  <si>
    <t>15-400ТСН</t>
  </si>
  <si>
    <t>ТМГ-25</t>
  </si>
  <si>
    <t>ЗСШ</t>
  </si>
  <si>
    <t>Сириус - 2-С-БПТ</t>
  </si>
  <si>
    <t>12.2-630ТН</t>
  </si>
  <si>
    <t>15.1-400ТСН</t>
  </si>
  <si>
    <t>ТЛС-16</t>
  </si>
  <si>
    <t>24.1-600</t>
  </si>
  <si>
    <t>СР</t>
  </si>
  <si>
    <t>28.2А</t>
  </si>
  <si>
    <t>СР+ШСН</t>
  </si>
  <si>
    <t>РВ-10/630</t>
  </si>
  <si>
    <t>СЭТ-4ТМ.03М.05</t>
  </si>
  <si>
    <t>Вакуумный контактор UVC 64 CX1 стац 400А</t>
  </si>
  <si>
    <t>02</t>
  </si>
  <si>
    <t>03</t>
  </si>
  <si>
    <t>ВНА-10/630 с ПР-10</t>
  </si>
  <si>
    <t>04</t>
  </si>
  <si>
    <t>Линия к ТР</t>
  </si>
  <si>
    <t>04Н</t>
  </si>
  <si>
    <t>ТЛО-10 150/5 0,5/10P</t>
  </si>
  <si>
    <t>Прайс код</t>
  </si>
  <si>
    <t>Ном ток</t>
  </si>
  <si>
    <t>3хПатрон ПН</t>
  </si>
  <si>
    <t>счетчик</t>
  </si>
  <si>
    <t>ном ток</t>
  </si>
  <si>
    <t>Меркурий 230 АМ-00</t>
  </si>
  <si>
    <t>Меркурий 230 AR-00 С (R)</t>
  </si>
  <si>
    <t>Меркурий 230 АRT-00 С (R)N</t>
  </si>
  <si>
    <t>Меркурий 230 АRT-00 P(Q)С(R)SIDN</t>
  </si>
  <si>
    <t>Меркурий 230 АRT2-00  P(Q)С(R)SIDN</t>
  </si>
  <si>
    <t>Меркурий 230 АRT-00 P(Q)С(R)SIGDN</t>
  </si>
  <si>
    <t>Меркурий 230 АRT2-00 PСSIGDN</t>
  </si>
  <si>
    <t>СЭТ-4ТМ.03М</t>
  </si>
  <si>
    <t>СЭТ-4ТМ.02М</t>
  </si>
  <si>
    <t>Протон-К ЦМ-02-А-2-234</t>
  </si>
  <si>
    <t>НЕВА СТ413 545 BSPIO22-G3</t>
  </si>
  <si>
    <t>Протон-К ЦМ-02-А-3-234</t>
  </si>
  <si>
    <t>Протон-К ЦМ-02-Т-2-234</t>
  </si>
  <si>
    <t>Протон-К ЦМ-02-К-2-234</t>
  </si>
  <si>
    <t>Протон-К ЦМ-02-К-1-234</t>
  </si>
  <si>
    <t>A1802RL-P4G-DW-4</t>
  </si>
  <si>
    <t>A1805RL-P4G-DW-4</t>
  </si>
  <si>
    <t>A1802RAL-P4G-DW-4</t>
  </si>
  <si>
    <t>A1805RAL-P4G-DW-4</t>
  </si>
  <si>
    <t>ПСЧ-4АР.05.2</t>
  </si>
  <si>
    <t>ПСЧ-3АР.07.132.3</t>
  </si>
  <si>
    <t>СЭТ3ар-01-24-09</t>
  </si>
  <si>
    <t>СЭТ-4ТМ.02М.03</t>
  </si>
  <si>
    <t>СЭТ-4ТМ.03.01</t>
  </si>
  <si>
    <t>ПСЧ-4ТМ.05М.08</t>
  </si>
  <si>
    <t>ПСЧ-4ТМ.05М.12</t>
  </si>
  <si>
    <t>ПСЧ-4ТМ.05М.13</t>
  </si>
  <si>
    <t>ПСЧ-4ТМ.05М.14</t>
  </si>
  <si>
    <t>ПСЧ-4ТМ.05М.19</t>
  </si>
  <si>
    <t>A1805RAL-P4GB-DW-4</t>
  </si>
  <si>
    <t>СЕ 302 S33 503 - IY</t>
  </si>
  <si>
    <t>СЕ 302 S33 503 - JY</t>
  </si>
  <si>
    <t>СЭТ-4ТМ.02М.02</t>
  </si>
  <si>
    <t>СЭТ-4ТМ.03М.01</t>
  </si>
  <si>
    <t>Матрица NP541.58Т, 0,5S/2,0</t>
  </si>
  <si>
    <t>СЕ 303 S31 503 - JAZ</t>
  </si>
  <si>
    <t>ПСЧ-3АРТ.08</t>
  </si>
  <si>
    <t>СЭТ-4ТМ.03М.09</t>
  </si>
  <si>
    <t>СЭТ3р-01-24-09</t>
  </si>
  <si>
    <t>СЭТ3р-01-22-08</t>
  </si>
  <si>
    <t>МИР С-03.05Т-EBN-R-H</t>
  </si>
  <si>
    <t>МИР С-03.05T-ЕВ-R-1Т (м)</t>
  </si>
  <si>
    <t>МИР С-03.05T-Е-R- 1Т</t>
  </si>
  <si>
    <t>СЭТ3р-01-09а</t>
  </si>
  <si>
    <t>СЭТ-4ТМ.03М.04</t>
  </si>
  <si>
    <t>Матрица NP73e.3-9-1</t>
  </si>
  <si>
    <t>Матрица NP 73L.3-5-2</t>
  </si>
  <si>
    <t>Альфа AV10-RAL-P14B-4</t>
  </si>
  <si>
    <t>ПСЧ-3ар.07д.132.3</t>
  </si>
  <si>
    <t>Меркурий 234 АRTM2-03 PBR.R</t>
  </si>
  <si>
    <t>Меркурий 234 АRT-00 P</t>
  </si>
  <si>
    <t>Меркурий 234 АRT2-00 P</t>
  </si>
  <si>
    <t>ПСЧ-4ТМ.05МК.12.01</t>
  </si>
  <si>
    <t>СЕ 308 S31 503 OAG.SYUVJLFZ GS01 SPDS</t>
  </si>
  <si>
    <t>Меркурий 230 АRTM2-00 RB.R</t>
  </si>
  <si>
    <t>ПСЧ-4ТМ.05МК.00</t>
  </si>
  <si>
    <t>BINOM339iU3.57I3.5 </t>
  </si>
  <si>
    <t>ПСЧ-4ТМ.05МД.01</t>
  </si>
  <si>
    <t>ПСЧ-4ТМ.05МД.03</t>
  </si>
  <si>
    <t>ПСЧ-4ТМ.05МД.05</t>
  </si>
  <si>
    <t>ПСЧ-4ТМ.05МД.07</t>
  </si>
  <si>
    <t>ПСЧ-4ТМ.05МД.13</t>
  </si>
  <si>
    <t>ПСЧ-4ТМ.05МД.15</t>
  </si>
  <si>
    <t>ПСЧ-4ТМ.05МД.17</t>
  </si>
  <si>
    <t>ПСЧ-4ТМ.05МД.11</t>
  </si>
  <si>
    <t>Меркурий 234 АRTM(Х)2-00 (D)PBR.G</t>
  </si>
  <si>
    <t>A1805RALXQV-P4G1B1-DW-4</t>
  </si>
  <si>
    <t>ПСЧ-4ТМ.05МКТ.04</t>
  </si>
  <si>
    <t>ПСЧ-4ТМ.05МК.03</t>
  </si>
  <si>
    <t>МИР С-07.05S-230-5(10)-R-S2T2LQ-D</t>
  </si>
  <si>
    <t>Меркурий 234 ARTMX2-03 (D)PBR.G</t>
  </si>
  <si>
    <t>Милур 307S.11-GRR-2</t>
  </si>
  <si>
    <t>Накладные</t>
  </si>
  <si>
    <t>ФОТ КСО-204</t>
  </si>
  <si>
    <t>Корпус КСО-204</t>
  </si>
  <si>
    <t>ФОТ ЩО</t>
  </si>
  <si>
    <t>Корпус КСО-393</t>
  </si>
  <si>
    <t>ФОТ КСО-393</t>
  </si>
  <si>
    <t>Накладные К-104</t>
  </si>
  <si>
    <t>Корпус К-104</t>
  </si>
  <si>
    <t>ФОТ К-104</t>
  </si>
  <si>
    <t>Тележка К-104</t>
  </si>
  <si>
    <t>Корпус КСО-211</t>
  </si>
  <si>
    <t>ФОТ КСО-211</t>
  </si>
  <si>
    <t>RamBlock</t>
  </si>
  <si>
    <t>Корпус ПКУ</t>
  </si>
  <si>
    <t>Накладные ПКУ</t>
  </si>
  <si>
    <t>ФОТ ПКУ</t>
  </si>
  <si>
    <t>OptiboxM</t>
  </si>
  <si>
    <t>ЩО-70-1</t>
  </si>
  <si>
    <t>ЩО-70-2</t>
  </si>
  <si>
    <t>ЩО-70-3</t>
  </si>
  <si>
    <t>ЩО-НКУ</t>
  </si>
  <si>
    <t>Корпус КСО-204м</t>
  </si>
  <si>
    <t>Накладные КСО-211 Линия</t>
  </si>
  <si>
    <t>Накладные КСО-211 Ввод</t>
  </si>
  <si>
    <t>Накладные КСО-211 Линия к ТР</t>
  </si>
  <si>
    <t>Накладные КСО-211 ТН</t>
  </si>
  <si>
    <t>Накладные КСО-211 ТСН</t>
  </si>
  <si>
    <t>Накладные КСО-211 СВ</t>
  </si>
  <si>
    <t>Накладные КСО-211 СР</t>
  </si>
  <si>
    <t>Накладные КСО-204 Линия</t>
  </si>
  <si>
    <t>Накладные КСО-204 Ввод</t>
  </si>
  <si>
    <t>Накладные КСО-204 Линия к ТР</t>
  </si>
  <si>
    <t>Накладные КСО-204 ТН</t>
  </si>
  <si>
    <t>Накладные КСО-204 ТСН</t>
  </si>
  <si>
    <t>Накладные КСО-204 СВ</t>
  </si>
  <si>
    <t>Накладные КСО-204 СР</t>
  </si>
  <si>
    <t>Накладные КСО-204м Линия</t>
  </si>
  <si>
    <t>Накладные КСО-204м Ввод</t>
  </si>
  <si>
    <t>Накладные КСО-204м Линия к ТР</t>
  </si>
  <si>
    <t>Накладные КСО-204м ТН</t>
  </si>
  <si>
    <t>Накладные КСО-204м ТСН</t>
  </si>
  <si>
    <t>Накладные КСО-204м СВ</t>
  </si>
  <si>
    <t>Накладные КСО-204м СР</t>
  </si>
  <si>
    <t>ФОТ КСО-204м</t>
  </si>
  <si>
    <t>Накладные КСО-393 Ввод</t>
  </si>
  <si>
    <t>Накладные КСО-393 Линия</t>
  </si>
  <si>
    <t>Накладные КСО-393 Линия к ТР</t>
  </si>
  <si>
    <t>Накладные КСО-393 СВ</t>
  </si>
  <si>
    <t>Накладные КСО-393 СР</t>
  </si>
  <si>
    <t>Накладные КСО-393 ТН</t>
  </si>
  <si>
    <t>Накладные КСО-393 ТСН</t>
  </si>
  <si>
    <t>ФОТ ЩО2021 макс</t>
  </si>
  <si>
    <t>Накладные ЩО2021 макс</t>
  </si>
  <si>
    <t>ФОТ ЩО3200</t>
  </si>
  <si>
    <t>Накладные ЩО3200</t>
  </si>
  <si>
    <t>ФОТ Корпус50 макс</t>
  </si>
  <si>
    <t>ФОТ Корпус100 макс</t>
  </si>
  <si>
    <t>Накладные Корпус50 макс</t>
  </si>
  <si>
    <t>Накладные Корпус100 макс</t>
  </si>
  <si>
    <t>ФОТ КСО-204 макс</t>
  </si>
  <si>
    <t>Накладные КСО-204 макс</t>
  </si>
  <si>
    <t>Накладные КСО-393 макс</t>
  </si>
  <si>
    <t>ФОТ КСО-393 макс</t>
  </si>
  <si>
    <t>Накладные КСО-211 макс</t>
  </si>
  <si>
    <t>ФОТ КСО-211 макс</t>
  </si>
  <si>
    <t>Накладные КСО-204м макс</t>
  </si>
  <si>
    <t>ФОТ КСО-204м макс</t>
  </si>
  <si>
    <t>Корпус ПУС</t>
  </si>
  <si>
    <t>Накладные ПУС</t>
  </si>
  <si>
    <t>ФОТ ПУС</t>
  </si>
  <si>
    <t>Доп</t>
  </si>
  <si>
    <t>Основание</t>
  </si>
  <si>
    <t>код1с</t>
  </si>
  <si>
    <t>код2с</t>
  </si>
  <si>
    <t>код3с</t>
  </si>
  <si>
    <t>код4с</t>
  </si>
  <si>
    <t>категория</t>
  </si>
  <si>
    <t>БМВ-12/28-02</t>
  </si>
  <si>
    <t>ЭБ000000508</t>
  </si>
  <si>
    <t>5</t>
  </si>
  <si>
    <t>БАВ/TEL-220-02</t>
  </si>
  <si>
    <t>МИР-ПТ-02.00</t>
  </si>
  <si>
    <t>МИР-ПТ03.084</t>
  </si>
  <si>
    <t>БИН</t>
  </si>
  <si>
    <t>Амперметр</t>
  </si>
  <si>
    <t>ЭБ000000360</t>
  </si>
  <si>
    <t>ЭБ000000361</t>
  </si>
  <si>
    <t>ЭБ000000367</t>
  </si>
  <si>
    <t>ЭБ000000371</t>
  </si>
  <si>
    <t>Вольтметр</t>
  </si>
  <si>
    <t>ЭБ000000717</t>
  </si>
  <si>
    <t>ОПН-0,38</t>
  </si>
  <si>
    <t>ЭБ000003202</t>
  </si>
  <si>
    <t>ЭБ000003203</t>
  </si>
  <si>
    <t>Е855/9</t>
  </si>
  <si>
    <t>Е855/1</t>
  </si>
  <si>
    <t>ET431</t>
  </si>
  <si>
    <t>Е842/1</t>
  </si>
  <si>
    <t>ЭНИП-2-35/100-220-А2Е0-11</t>
  </si>
  <si>
    <t>ПО EKRA SMS</t>
  </si>
  <si>
    <t>ПО WNDR</t>
  </si>
  <si>
    <t>Орион-ДЗ-Н 3хДатчика дуги</t>
  </si>
  <si>
    <t>Амперметр цифровой ЩП02М 100/5 с RS485</t>
  </si>
  <si>
    <t>Вольтметр цифровой ЩП02M-11кВ/100В с RS485</t>
  </si>
  <si>
    <t>УСПД Нейрон УН-200-123-1</t>
  </si>
  <si>
    <t>ЭБ000005469</t>
  </si>
  <si>
    <t>МИР ПН-23.000 (3Ф)</t>
  </si>
  <si>
    <t>Мультиметр (0,4кВ) Бриз AOB292Z-9X6-IU</t>
  </si>
  <si>
    <t>Стол подъемный (КСО-211)</t>
  </si>
  <si>
    <t>Е842С</t>
  </si>
  <si>
    <t>Е3855С</t>
  </si>
  <si>
    <t>АСЕ-949-2</t>
  </si>
  <si>
    <t>Концентратор Меркурий 225.1</t>
  </si>
  <si>
    <t>GSM-шлюз Меркурий 228</t>
  </si>
  <si>
    <t>Маршрутизатор RTR512.10-6L/ЕY (GSM/Ethernet)</t>
  </si>
  <si>
    <t>вольтметр Shnaider СВ3021-250</t>
  </si>
  <si>
    <t>РВН-0,5</t>
  </si>
  <si>
    <t>ЭБ000003948</t>
  </si>
  <si>
    <t>РЛНД-400</t>
  </si>
  <si>
    <t>ЭБ000003996</t>
  </si>
  <si>
    <t>РЛНД-630</t>
  </si>
  <si>
    <t>ЭБ000003997</t>
  </si>
  <si>
    <t>РЛК-10/TE-1-400</t>
  </si>
  <si>
    <t>РЛК-10/TE-1-630</t>
  </si>
  <si>
    <t>РИМ 099.02</t>
  </si>
  <si>
    <t>GPRS-модем Link ST100, блок питания, Антена на магнитном основании</t>
  </si>
  <si>
    <t>АВР ATS021 (1SDA065523R1)</t>
  </si>
  <si>
    <t>РиМ 071.01 Коммуникатор</t>
  </si>
  <si>
    <t>РЛК 10.1А-IV/400</t>
  </si>
  <si>
    <t>БПТМ 610-01</t>
  </si>
  <si>
    <t>КПР-01.5-ТМ-2R-KQ</t>
  </si>
  <si>
    <t>КПР-01.5Р-ТМ-2R-К</t>
  </si>
  <si>
    <t>SPA-ZC17MM2A</t>
  </si>
  <si>
    <t>Satec PM130p plus 5-50hz-h-acdc-870</t>
  </si>
  <si>
    <t>UMG 508</t>
  </si>
  <si>
    <t>АВР-3/3-22</t>
  </si>
  <si>
    <t>ЩМК96-100В-5А-1REC-RS-4П-К-УХЛ3.1</t>
  </si>
  <si>
    <t>УТКЗ-4</t>
  </si>
  <si>
    <t>SDM-TC65 (с блоком питания и антеной)</t>
  </si>
  <si>
    <t>ЩМ120 с RS485</t>
  </si>
  <si>
    <t>УДЗ ПРОЭЛ-МИНИ</t>
  </si>
  <si>
    <t>MES 114F  (220В ПОСТОЯННОГО, ПЕРЕМЕННОГО ТОКА)</t>
  </si>
  <si>
    <t>ЦП8501/14 амперметр переменного тока (+RS485)</t>
  </si>
  <si>
    <t>ЦП8501/16 вольтметр переменного тока (+RS485)</t>
  </si>
  <si>
    <t>Satec PM130EH Plus</t>
  </si>
  <si>
    <t>КСО-Мнемо-04</t>
  </si>
  <si>
    <t>КСО-Мнемо-07</t>
  </si>
  <si>
    <t>Е854В</t>
  </si>
  <si>
    <t>Е855/3-М1</t>
  </si>
  <si>
    <t>PAC3200</t>
  </si>
  <si>
    <t>ET-331</t>
  </si>
  <si>
    <t>Е854ЭЛ-0…5А-220ВУ-4…20мА Преобразователь прем тока и напр</t>
  </si>
  <si>
    <t>ЭНИП-2-45/100-220-А2Е011</t>
  </si>
  <si>
    <t>ЭНИП-2-45/380-220-А2Е011</t>
  </si>
  <si>
    <t>TER_Cbunit_ManGen_1</t>
  </si>
  <si>
    <t>БУАВР СР1007</t>
  </si>
  <si>
    <t>Е8494ЭЛ-100-1/5-Вт/Вар-1RS- (4…20мА) Преобразователь активной и реактивной мощности</t>
  </si>
  <si>
    <t>ТС и ТУ КСО204(М) (на базе ЭНИП-2, ЭНМВ-1)</t>
  </si>
  <si>
    <t>Е854ЭЛ -5-200ВУ-4..20мА-1RS</t>
  </si>
  <si>
    <t>ЭНИП-2-45/100-220-А3Е4-21</t>
  </si>
  <si>
    <t>ЭНМВ-1-4/3R-220</t>
  </si>
  <si>
    <t>SIMEAS 7KG77500AA03-0AA0</t>
  </si>
  <si>
    <t>РДЗ-1-35/1000 3-хпол, с ПР</t>
  </si>
  <si>
    <t>РГПЗ-СЭЩ-1б-35/1000 3-хпол, с ПР</t>
  </si>
  <si>
    <t>ЩП120</t>
  </si>
  <si>
    <t>Розетка AC5FDZB BULK</t>
  </si>
  <si>
    <t>Комплект ТМ (ЭНИП-2-45/100-220-А2Е0-11+ЭНКМ-3-220-А2B1E1GT-430+ЭНМВ-8/8+KZ-8169+Антенна GPS-B3.10+GPS-КР-MINI)</t>
  </si>
  <si>
    <t>модуль индикации ЭНМИ-3-24-1</t>
  </si>
  <si>
    <t>модуль индикации графический ЭНМИ-4-24-2</t>
  </si>
  <si>
    <t>ЭНИП-2-45/100-220-А3Е4x2-21+1хЭНМВ-1-6/3R-А1+ЭНМИ-4-24-2 (Л,В)</t>
  </si>
  <si>
    <t>ЭНИП-2-45/100-220-А3Е4x2-21+ЭНМИ-4-24-2 (ТН)</t>
  </si>
  <si>
    <t>ЭНМИ-4-24-2</t>
  </si>
  <si>
    <t>ЩМК120 с RS485</t>
  </si>
  <si>
    <t>Ручной генератор для VM-12  ВЕАШ.468312.001</t>
  </si>
  <si>
    <t>КС-3Ф-R2</t>
  </si>
  <si>
    <t>Дуга-0, 3хдатчика дуги</t>
  </si>
  <si>
    <t>ЗНОЙ-03Т Модуль температурного контроля</t>
  </si>
  <si>
    <t>Амперметр цифровой AD-721</t>
  </si>
  <si>
    <t>БПК-5-Т</t>
  </si>
  <si>
    <t>БПК-5М-Т</t>
  </si>
  <si>
    <t>БП 220/24-2</t>
  </si>
  <si>
    <t>КБП-301</t>
  </si>
  <si>
    <t>Плакат пластик "Не влезай. Убьет"</t>
  </si>
  <si>
    <t>Дуговая защита Агат-Дуга</t>
  </si>
  <si>
    <t>Дуговая защита МИКО-ДЗ ( в комплекте с 3 датчиками ВОД)</t>
  </si>
  <si>
    <t>Дуговая защита Бастион-ДЗ</t>
  </si>
  <si>
    <t>КСО мнемосхема Блик</t>
  </si>
  <si>
    <t>ИРИС-МИ-120-V-A-220V-RS-11-х-х</t>
  </si>
  <si>
    <t>ИРИС-МИ-96-V-A-220V-RS-11-х-x</t>
  </si>
  <si>
    <t>Охранная и пожарная сигнализация КТП</t>
  </si>
  <si>
    <t>Пожарная и охранная сигнализация КТП</t>
  </si>
  <si>
    <t>Дуговая защита Лайм с 3 датчиками дуги</t>
  </si>
  <si>
    <t>КСО-Мнемо-02 с 6хДТП-300</t>
  </si>
  <si>
    <t>БИН СКВН-2</t>
  </si>
  <si>
    <t>Выкл</t>
  </si>
  <si>
    <t>место применения</t>
  </si>
  <si>
    <t>ISM15_LD_8(200_1)- 10-20/1000</t>
  </si>
  <si>
    <t>КСО204, КСО204м</t>
  </si>
  <si>
    <t>ВВУ-СЭЩ-ПЭ-10-20/1000</t>
  </si>
  <si>
    <t>ВВТ-10-20/1000</t>
  </si>
  <si>
    <t>ВВТ-10-20/630</t>
  </si>
  <si>
    <t>ВВР-10-20/630</t>
  </si>
  <si>
    <t>ВВР-10-20/1000</t>
  </si>
  <si>
    <t>ВВР-10-20/1600</t>
  </si>
  <si>
    <t>ISM15_Shell-31,5/2000</t>
  </si>
  <si>
    <t>VF12-S-10-20/630</t>
  </si>
  <si>
    <t>КСО204</t>
  </si>
  <si>
    <t>ВЭ/TER_VCB15_LD8_RD-20/1000</t>
  </si>
  <si>
    <t>К104</t>
  </si>
  <si>
    <t>ВЭ/TER_VCB15_LD8_RD-20/630</t>
  </si>
  <si>
    <t>ВЭ/TER_VCB15_Shell2_RD-31,5/1600</t>
  </si>
  <si>
    <t>Выдвижной элемент К-104</t>
  </si>
  <si>
    <t>ВЭ/VD4-10-25/1000</t>
  </si>
  <si>
    <t>ВЭ К-104М с ВВР-10-20/1000</t>
  </si>
  <si>
    <t>ВЭ К-104М с ВВР-10-20/1600</t>
  </si>
  <si>
    <t>ВЭ К-104М с ВВР-10-20/630</t>
  </si>
  <si>
    <t>ВЭ К-104М с ВВР-10-31,5/1600</t>
  </si>
  <si>
    <t>Shell2-1 2000A на тележке К-104</t>
  </si>
  <si>
    <t>ВЭ/TER_VCB15_Shell2_RD-31,5/2000</t>
  </si>
  <si>
    <t>Касетный элемент КСО211</t>
  </si>
  <si>
    <t>КСО211</t>
  </si>
  <si>
    <t>КВЭ (Бриз) ВВТ-10-20/630</t>
  </si>
  <si>
    <t>КВЭ (Бриз) ВВТ-10-20/1000</t>
  </si>
  <si>
    <t>КВЭ/VF-12-S-10-20/630</t>
  </si>
  <si>
    <t>КВЭ/VF-12-S-10-20/800</t>
  </si>
  <si>
    <t>КВЭ/VF-12-S-10-20/1000</t>
  </si>
  <si>
    <t>КВЭ/VF-12-S-10-25/630</t>
  </si>
  <si>
    <t>КВЭ/VF-12-S-10-25/800</t>
  </si>
  <si>
    <t>КВЭ/VF-12-S-10-25/1000</t>
  </si>
  <si>
    <t>ВЭ/ВБМ-10-20/630</t>
  </si>
  <si>
    <t>VM12-10-20/1000</t>
  </si>
  <si>
    <t>ВБП-10-20/630</t>
  </si>
  <si>
    <t>КЭПС-КМ 10-20/1000</t>
  </si>
  <si>
    <t>КВЭ/VF12-S-10-20/1600</t>
  </si>
  <si>
    <t>ВЭ/ВБСК2-10-20/1000</t>
  </si>
  <si>
    <t>ВБСК-10-20/1000</t>
  </si>
  <si>
    <t>VF12-S-10-20/1600</t>
  </si>
  <si>
    <t>VF12-S-10-20/1000</t>
  </si>
  <si>
    <t>VF12-L-10-A-20/630</t>
  </si>
  <si>
    <t>ISM15_Shell-31,5/1600</t>
  </si>
  <si>
    <t>ВЭ/VF12-S-10-25/630</t>
  </si>
  <si>
    <t>ВЭ/VF12-S-10-25/1600</t>
  </si>
  <si>
    <t>ВЭ/VF12-S-10-25/2000</t>
  </si>
  <si>
    <t>ESQ ВВ(F)-12-25/1250</t>
  </si>
  <si>
    <t>VF12-S-10-20/1250</t>
  </si>
  <si>
    <t>ESQ ВВ(F)-12-31,5/1250</t>
  </si>
  <si>
    <t>3хЗНОЛП-ЭК-6 М1ТА</t>
  </si>
  <si>
    <t>м0000004325</t>
  </si>
  <si>
    <t/>
  </si>
  <si>
    <t>3хЗНОЛП-ЭК-6 М1Т</t>
  </si>
  <si>
    <t>м0000004327</t>
  </si>
  <si>
    <t>НТМИ-10</t>
  </si>
  <si>
    <t>Э0000000906</t>
  </si>
  <si>
    <t>НТМИ-6</t>
  </si>
  <si>
    <t>НАМИТ-6</t>
  </si>
  <si>
    <t>м0000004410</t>
  </si>
  <si>
    <t>НАМИТ-10</t>
  </si>
  <si>
    <t>м0000004331</t>
  </si>
  <si>
    <t>м0000004332</t>
  </si>
  <si>
    <t>ЗНОЛП-ЭК-6 М1</t>
  </si>
  <si>
    <t>ЗНОЛП-ЭК-10 М1</t>
  </si>
  <si>
    <t>3хЗНОЛП-ЭК-3_М1</t>
  </si>
  <si>
    <t>НОЛ-ЭК-10 М1 6000/100-0,5-50</t>
  </si>
  <si>
    <t>НОЛ-ЭК-10 М1 3000/100-0,5-50</t>
  </si>
  <si>
    <t>НАЛИ-НТЗ-6</t>
  </si>
  <si>
    <t>НАЛИ-НТЗ-10</t>
  </si>
  <si>
    <t>НАЛИ-ЭК 6 М4</t>
  </si>
  <si>
    <t>НАЛИ-ЭК 10 М4</t>
  </si>
  <si>
    <t>НАЛИ-ЭК-6-М6П—0.5/3P-75/400-6000-100/100 У2 (антирезонансный)</t>
  </si>
  <si>
    <t>НАЛИ-ЭК–10–М6П–0,5/3P–30/50–10000–100/100  УХЛ3  (антирезонансный)</t>
  </si>
  <si>
    <t>м0000004432</t>
  </si>
  <si>
    <t>м0000004433</t>
  </si>
  <si>
    <t>ТМГ-40</t>
  </si>
  <si>
    <t>Э0000000973</t>
  </si>
  <si>
    <t>ТМГ-63</t>
  </si>
  <si>
    <t>м0000004435</t>
  </si>
  <si>
    <t>м0000004436</t>
  </si>
  <si>
    <t>ТСКС-25</t>
  </si>
  <si>
    <t>м0000004490</t>
  </si>
  <si>
    <t>ТСКС-40</t>
  </si>
  <si>
    <t>м0000004491</t>
  </si>
  <si>
    <t>Э0000000520</t>
  </si>
  <si>
    <t>Э0000000970</t>
  </si>
  <si>
    <t>ТЛС-25</t>
  </si>
  <si>
    <t>Э0000000910</t>
  </si>
  <si>
    <t>ТЛС-40</t>
  </si>
  <si>
    <t>Э0000000398</t>
  </si>
  <si>
    <t>Э0000000569</t>
  </si>
  <si>
    <t>ТЛС-63</t>
  </si>
  <si>
    <t>ОЛСП-1,25</t>
  </si>
  <si>
    <t>м0000004340</t>
  </si>
  <si>
    <t>м0000004341</t>
  </si>
  <si>
    <t>ТСКС-16</t>
  </si>
  <si>
    <t>ТМГ-16</t>
  </si>
  <si>
    <t>ОЛСП-0,63</t>
  </si>
  <si>
    <t>TER_CM_16_1(220_4)</t>
  </si>
  <si>
    <t>TER_CM_16_2(220_4)</t>
  </si>
  <si>
    <t>CVM 1.1 ВЕАШ468389.001</t>
  </si>
  <si>
    <t>CVM 1.2 ВЕАШ468389.001-01</t>
  </si>
  <si>
    <t>КЭПС-В-6Т</t>
  </si>
  <si>
    <t>РCТ40</t>
  </si>
  <si>
    <t>Сириус-ЦС</t>
  </si>
  <si>
    <t>Сириус - 2-В-БПТ</t>
  </si>
  <si>
    <t>Сириус - 2-Л-БПТ</t>
  </si>
  <si>
    <t>Орион-РТЗ-П</t>
  </si>
  <si>
    <t>Орион-2 снят с производства</t>
  </si>
  <si>
    <t>РС83-А2.0</t>
  </si>
  <si>
    <t>«Орион-БПМ»</t>
  </si>
  <si>
    <t>УЗА-10М.В2</t>
  </si>
  <si>
    <t>РТ80</t>
  </si>
  <si>
    <t>ТОР 200-В22</t>
  </si>
  <si>
    <t>ТОР 200-С22</t>
  </si>
  <si>
    <t>ТОР 200-Л22</t>
  </si>
  <si>
    <t>ТОР 200-Н42</t>
  </si>
  <si>
    <t>Без МПЗ</t>
  </si>
  <si>
    <t>БЭ2502А0303  (ЭКРА)</t>
  </si>
  <si>
    <t>БЭ2502А1101 (ЭКРА)</t>
  </si>
  <si>
    <t>БЭ2502А0103 (ЭКРА)</t>
  </si>
  <si>
    <t>БИМ 2130.55 АДР01</t>
  </si>
  <si>
    <t>БИМ 5160.00 АДР01С1</t>
  </si>
  <si>
    <t>Сириус ОЗЗ</t>
  </si>
  <si>
    <t>Сириус-ТН</t>
  </si>
  <si>
    <t>БЭМП РУ-ОЛ</t>
  </si>
  <si>
    <t>БЭМП РУ-ВВ</t>
  </si>
  <si>
    <t>БЭМП РУ-СВ</t>
  </si>
  <si>
    <t>БМРЗ-103-2-Д-СВ-01</t>
  </si>
  <si>
    <t>БМРЗ-101-2-Д-КЛ-01</t>
  </si>
  <si>
    <t>РС80М2М 14</t>
  </si>
  <si>
    <t>РС80М2Мi 8</t>
  </si>
  <si>
    <t>ТОР 200-Д22</t>
  </si>
  <si>
    <t>РС83-АВ2</t>
  </si>
  <si>
    <t>РС83-ДТ2</t>
  </si>
  <si>
    <t>Сириус - 2-МЛ-БПТ</t>
  </si>
  <si>
    <t>Сириус-2-АЧР, Орион-БПМ</t>
  </si>
  <si>
    <t>РС83-В.1</t>
  </si>
  <si>
    <t>БМРЗ-102-2-Д-КЛ-01</t>
  </si>
  <si>
    <t>БМРЗ-103-2-Д-ВВ-01</t>
  </si>
  <si>
    <t>Орион-2-В</t>
  </si>
  <si>
    <t>Орион-2-С</t>
  </si>
  <si>
    <t>Орион-2-Л</t>
  </si>
  <si>
    <t>БЭМП РУ-ТН</t>
  </si>
  <si>
    <t>РС80М2-21</t>
  </si>
  <si>
    <t>РС80М2-2 + РС80-АВРМ</t>
  </si>
  <si>
    <t>ТЭМП 2501-11(-25 до +55)</t>
  </si>
  <si>
    <t>ТЭМП 2501-11(-40 до +55)</t>
  </si>
  <si>
    <t>БМРЗ-104-2-Д-ТН-01</t>
  </si>
  <si>
    <t>VAMP52 (базовый блок, 220В,RJ-45 Ethernet)</t>
  </si>
  <si>
    <t>Сириус-Т,</t>
  </si>
  <si>
    <t>TOP-200Л-22-3132</t>
  </si>
  <si>
    <t>УЗА-10М.А2</t>
  </si>
  <si>
    <t>УЗА-10М.АВ1</t>
  </si>
  <si>
    <t>БМРЗ-152-2-Д-ВВ-01</t>
  </si>
  <si>
    <t>БМРЗ-152-2-Д-СВ-01</t>
  </si>
  <si>
    <t>БМРЗ-152-2-Д-ТН-01</t>
  </si>
  <si>
    <t>БМРЗ-152-2-Д-КЛ-01</t>
  </si>
  <si>
    <t>БМРЗ-152-2-Д-БСК-01</t>
  </si>
  <si>
    <t>КТЗ 351021</t>
  </si>
  <si>
    <t>ТОР 120-В11 2602</t>
  </si>
  <si>
    <t>ТОР 120-С11 2602</t>
  </si>
  <si>
    <t>ТОР 120-Л11 2602</t>
  </si>
  <si>
    <t>МР700</t>
  </si>
  <si>
    <t>РС80М2М5</t>
  </si>
  <si>
    <t>БМРЗ-123-2-Д-ВВ-01</t>
  </si>
  <si>
    <t>БМРЗ-121-2-Д-КЛ-01</t>
  </si>
  <si>
    <t>БМРЗ-122-2-Д-КЛ-01</t>
  </si>
  <si>
    <t>БМРЗ-123-2-Д-СВ-01</t>
  </si>
  <si>
    <t>БМРЗ-124-2-Д-ТН-01</t>
  </si>
  <si>
    <t>VAMP50-3AAA3BBD</t>
  </si>
  <si>
    <t>Сириус-2-Л-К, Орион-БПМ</t>
  </si>
  <si>
    <t>БМЦС-40-21</t>
  </si>
  <si>
    <t>БЗП-01</t>
  </si>
  <si>
    <t>БМРЗ-152-2-Д-КСЗ-01</t>
  </si>
  <si>
    <t>РС80-МР</t>
  </si>
  <si>
    <t>БМРЗ-158-ГР</t>
  </si>
  <si>
    <t>БЭ2502А0201 (ЭКРА)</t>
  </si>
  <si>
    <t>БЭ2502А0402 с АЧР (ЭКРА)</t>
  </si>
  <si>
    <t>АГАТ 200. АВЭ</t>
  </si>
  <si>
    <t>РС80МР-1231 c RS485</t>
  </si>
  <si>
    <t>Орион-БП5</t>
  </si>
  <si>
    <t>БЭ2704v752</t>
  </si>
  <si>
    <t>АГАТ-100</t>
  </si>
  <si>
    <t>ТОР-200 Л-622132</t>
  </si>
  <si>
    <t>Сириус - 2-ММ</t>
  </si>
  <si>
    <t>АГАТ 200. ДЭ</t>
  </si>
  <si>
    <t>БМРЗ-100</t>
  </si>
  <si>
    <t>Микро 2.0-1-Т</t>
  </si>
  <si>
    <t>Микро 2.0-2-Т</t>
  </si>
  <si>
    <t>Микро 2.0-2-Т-ДЗ с 3 датчиками дуги</t>
  </si>
  <si>
    <t>Лютик-Т</t>
  </si>
  <si>
    <t>Бастион МПЗ-03</t>
  </si>
  <si>
    <t>Бастион МПЗ-03ТН</t>
  </si>
  <si>
    <t>Бастион МПЗ-03pro</t>
  </si>
  <si>
    <t>Алтей-01-220-4IT-4U-IO-RSTX-Arc-IoT</t>
  </si>
  <si>
    <t>Лютик-Т с модулем дешунтирования</t>
  </si>
  <si>
    <t>Лютик-Плюс-220-4I-0-0-0</t>
  </si>
  <si>
    <t>Лютик-Плюс-220-4IT-0-0-0</t>
  </si>
  <si>
    <t>Лютик-Плюс-220-4IT-4U-0-0</t>
  </si>
  <si>
    <t>Лютик-Плюс-220-4I-0-Arc-0 (3  датчика)</t>
  </si>
  <si>
    <t>Лютик-Плюс-220-4I-4U-Arc-0 (3  датчика)</t>
  </si>
  <si>
    <t>Лютик-Плюс-220-0-4U-0-0</t>
  </si>
  <si>
    <t>Сириус-2-Л-П</t>
  </si>
  <si>
    <t>ОПН РТ/TEL 10/10,5</t>
  </si>
  <si>
    <t>ОПН РТ/TEL 6/6,9</t>
  </si>
  <si>
    <t>ОПН РТ/TEL 6/7,2</t>
  </si>
  <si>
    <t>ОПН РB/TEL 10/12,6</t>
  </si>
  <si>
    <t>ОПН РB/TEL 6/7,6</t>
  </si>
  <si>
    <t>РВО-10</t>
  </si>
  <si>
    <t>РВО-6</t>
  </si>
  <si>
    <t>ОПН 10кВ</t>
  </si>
  <si>
    <t>ОПН 6кВ</t>
  </si>
  <si>
    <t>ОПН KP/TEL 6/6,9</t>
  </si>
  <si>
    <t>ОПН KP/TEL 10/11,5</t>
  </si>
  <si>
    <t>ОПНп-35/40,5/10</t>
  </si>
  <si>
    <t>ОПНп-27,5/30/10</t>
  </si>
  <si>
    <t>ОПНп-3/550/3,6</t>
  </si>
  <si>
    <t>ОПН-П-10/12/10/550</t>
  </si>
  <si>
    <t>ОПН-П-6/7.2/10/550</t>
  </si>
  <si>
    <t>Поле1</t>
  </si>
  <si>
    <t>ТЗЛМ-1</t>
  </si>
  <si>
    <t>Э0000001052</t>
  </si>
  <si>
    <t>м0000004378</t>
  </si>
  <si>
    <t>м0000004379</t>
  </si>
  <si>
    <t>Э0000000969</t>
  </si>
  <si>
    <t>CSH-120</t>
  </si>
  <si>
    <t>ТЗРЛ-70</t>
  </si>
  <si>
    <t>м0000004389</t>
  </si>
  <si>
    <t>ТЗРЛ-100</t>
  </si>
  <si>
    <t>м0000004386</t>
  </si>
  <si>
    <t>ТЗРЛ-125</t>
  </si>
  <si>
    <t>м0000004387</t>
  </si>
  <si>
    <t>ТЗРЛ-200</t>
  </si>
  <si>
    <t>м0000004388</t>
  </si>
  <si>
    <t>ТЗЛЭ-125</t>
  </si>
  <si>
    <t>м0000004383</t>
  </si>
  <si>
    <t>м0000004376</t>
  </si>
  <si>
    <t>ТЗЛКР-0,66-70</t>
  </si>
  <si>
    <t>ТЗЛКР-0,66-100</t>
  </si>
  <si>
    <t>ТЗЛКР-0,66-125</t>
  </si>
  <si>
    <t>ТЗЛКР-0,66-200</t>
  </si>
  <si>
    <t>ТЗЛК-0,66-100</t>
  </si>
  <si>
    <t>ТЗЛК-0,66-125</t>
  </si>
  <si>
    <t>ТЗЛК-0,66-200</t>
  </si>
  <si>
    <t>РВЗ</t>
  </si>
  <si>
    <t>ЭБ000003959</t>
  </si>
  <si>
    <t>ЭБ000003958</t>
  </si>
  <si>
    <t>РВЗ-10/1000</t>
  </si>
  <si>
    <t>ЭБ000003956</t>
  </si>
  <si>
    <t>ЭБ000003962</t>
  </si>
  <si>
    <t>РВФЗ-10/1000</t>
  </si>
  <si>
    <t>ЭБ000003961</t>
  </si>
  <si>
    <t>ЭБ000001297</t>
  </si>
  <si>
    <t>ЭБ000001298</t>
  </si>
  <si>
    <t>ЭБ000001301</t>
  </si>
  <si>
    <t>ЭБ000001303</t>
  </si>
  <si>
    <t>ЭБ000001304</t>
  </si>
  <si>
    <t>ЭБ000001305</t>
  </si>
  <si>
    <t>ВНА-10/630 СЭЩ</t>
  </si>
  <si>
    <t>ВНА-10/630п СЭЩ</t>
  </si>
  <si>
    <t>Зазем РВЗ-И-10/31,5-150</t>
  </si>
  <si>
    <t>ЭБ000001601</t>
  </si>
  <si>
    <t>ЭБ000003954</t>
  </si>
  <si>
    <t>РВЗ-10/400</t>
  </si>
  <si>
    <t>ВНВР-10/630-20</t>
  </si>
  <si>
    <t>ВНВР-10/630-20п</t>
  </si>
  <si>
    <t>РВЗ-СЭЩ-10/1600</t>
  </si>
  <si>
    <t>РВФЗ-СЭЩ-10/1600</t>
  </si>
  <si>
    <t>РВЗ-10/1600</t>
  </si>
  <si>
    <t>РВФЗ-10/1600</t>
  </si>
  <si>
    <t>ТПЛ-10 50/5 0,2S/0,5S/10P</t>
  </si>
  <si>
    <t>ТПЛ-10 75/5 0,2S/0,5S/10P</t>
  </si>
  <si>
    <t>ТПЛ-10 100/5 0,2S/0,5S/10P</t>
  </si>
  <si>
    <t>ТПЛ-10 150/5 0,2S/0,5S/10P</t>
  </si>
  <si>
    <t>ТПЛ-10 200/5 0,2S/0,5S/10P</t>
  </si>
  <si>
    <t>ТПЛ-10 300/5 0,2S/0,5S/10P</t>
  </si>
  <si>
    <t>ТПЛ-10 400/5 0,2S/0,5S/10P</t>
  </si>
  <si>
    <t>ТПЛ-10 500/5 0,2S/0,5S/10P</t>
  </si>
  <si>
    <t>ТПЛ-10 600/5 0,2S/0,5S/10P</t>
  </si>
  <si>
    <t>ТПЛ-10 800/5 0,2S/0,5S/10P</t>
  </si>
  <si>
    <t>ТПЛ-10 1000/5 0,2S/0,5S/10P</t>
  </si>
  <si>
    <t>ТПЛ-10 1500/5 0,2S/0,5S/10P</t>
  </si>
  <si>
    <t>ТПЛ-10 50/5 0,5S/0,5/10P</t>
  </si>
  <si>
    <t>ТПЛ-10 75/5 0,5S/0,5/10P</t>
  </si>
  <si>
    <t>ТПЛ-10 100/5 0,5S/0,5/10P</t>
  </si>
  <si>
    <t>ТПЛ-10 150/5 0,5S/0,5/10P</t>
  </si>
  <si>
    <t>ТПЛ-10 200/5 0,5S/0,5/10P</t>
  </si>
  <si>
    <t>ТПЛ-10 300/5 0,5S/0,5/10P</t>
  </si>
  <si>
    <t>ТПЛ-10 400/5 0,5S/0,5/10P</t>
  </si>
  <si>
    <t>ТПЛ-10 500/5 0,5S/0,5/10P</t>
  </si>
  <si>
    <t>ТПЛ-10 600/5 0,5S/0,5/10P</t>
  </si>
  <si>
    <t>ТПЛ-10 800/5 0,5S/0,5/10P</t>
  </si>
  <si>
    <t>ТПЛ-10 1000/5 0,5S/0,5/10P</t>
  </si>
  <si>
    <t>ТПЛ-10 1500/5 0,5S/0,5/10P</t>
  </si>
  <si>
    <t>ТПЛ-10 50/5 0,5/10P</t>
  </si>
  <si>
    <t>ТПЛ-10 75/5 0,5/10P</t>
  </si>
  <si>
    <t>ТПЛ-10 100/5 0,5/10P</t>
  </si>
  <si>
    <t>ТПЛ-10 150/5 0,5/10P</t>
  </si>
  <si>
    <t>ТПЛ-10 200/5 0,5/10P</t>
  </si>
  <si>
    <t>ТПЛ-10 300/5 0,5/10P</t>
  </si>
  <si>
    <t>ТПЛ-10 400/5 0,5/10P</t>
  </si>
  <si>
    <t>ТПЛ-10 500/5 0,5/10P</t>
  </si>
  <si>
    <t>ТПЛ-10 600/5 0,5/10P</t>
  </si>
  <si>
    <t>ТПЛ-10 800/5 0,5/10P</t>
  </si>
  <si>
    <t>ТПЛ-10 1000/5 0,5/10P</t>
  </si>
  <si>
    <t>ТПЛ-10 1500/5 0,5/10P</t>
  </si>
  <si>
    <t>ТПЛ-10 50/5 0,5S/10P</t>
  </si>
  <si>
    <t>ТПЛ-10 75/5 0,5S/10P</t>
  </si>
  <si>
    <t>ТПЛ-10 100/5 0,5S/10P</t>
  </si>
  <si>
    <t>ТПЛ-10 150/5 0,5S/10P</t>
  </si>
  <si>
    <t>ТПЛ-10 200/5 0,5S/10P</t>
  </si>
  <si>
    <t>ТПЛ-10 300/5 0,5S/10P</t>
  </si>
  <si>
    <t>ТПЛ-10 400/5 0,5S/10P</t>
  </si>
  <si>
    <t>ТПЛ-10 500/5 0,5S/10P</t>
  </si>
  <si>
    <t>ТПЛ-10 600/5 0,5S/10P</t>
  </si>
  <si>
    <t>ТПЛ-10 800/5 0,5S/10P</t>
  </si>
  <si>
    <t>ТПЛ-10 1000/5 0,5S/10P</t>
  </si>
  <si>
    <t>ТПЛ-10 1500/5 0,5S/10P</t>
  </si>
  <si>
    <t>ТЛО-10 50/5 0,2S/0,5S/10P</t>
  </si>
  <si>
    <t>ТЛО-10 75/5 0,2S/0,5S/10P</t>
  </si>
  <si>
    <t>ТЛО-10 100/5 0,2S/0,5S/10P</t>
  </si>
  <si>
    <t>ТЛО-10 150/5 0,2S/0,5S/10P</t>
  </si>
  <si>
    <t>ТЛО-10 200/5 0,2S/0,5S/10P</t>
  </si>
  <si>
    <t>ТЛО-10 300/5 0,2S/0,5S/10P</t>
  </si>
  <si>
    <t>ТЛО-10 400/5 0,2S/0,5S/10P</t>
  </si>
  <si>
    <t>ТЛО-10 500/5 0,2S/0,5S/10P</t>
  </si>
  <si>
    <t>ТЛО-10 600/5 0,2S/0,5S/10P</t>
  </si>
  <si>
    <t>ТЛО-10 800/5 0,2S/0,5S/10P</t>
  </si>
  <si>
    <t>ТЛО-10 1000/5 0,2S/0,5S/10P</t>
  </si>
  <si>
    <t>ТЛО-10 1500/5 0,2S/0,5S/10P</t>
  </si>
  <si>
    <t>ТЛО-10 2000/5 0,2S/0,5S/10P</t>
  </si>
  <si>
    <t>ТЛО-10 50/5 0,5S/0,5/10P</t>
  </si>
  <si>
    <t>ТЛО-10 75/5 0,5S/0,5/10P</t>
  </si>
  <si>
    <t>ТЛО-10 100/5 0,5S/0,5/10P</t>
  </si>
  <si>
    <t>ТЛО-10 150/5 0,5S/0,5/10P</t>
  </si>
  <si>
    <t>ТЛО-10 200/5 0,5S/0,5/10P</t>
  </si>
  <si>
    <t>ТЛО-10 300/5 0,5S/0,5/10P</t>
  </si>
  <si>
    <t>ТЛО-10 400/5 0,5S/0,5/10P</t>
  </si>
  <si>
    <t>ТЛО-10 500/5 0,5S/0,5/10P</t>
  </si>
  <si>
    <t>ТЛО-10 600/5 0,5S/0,5/10P</t>
  </si>
  <si>
    <t>ТЛО-10 800/5 0,5S/0,5/10P</t>
  </si>
  <si>
    <t>ТЛО-10 1000/5 0,5S/0,5/10P</t>
  </si>
  <si>
    <t>ТЛО-10 1500/5 0,5S/0,5/10P</t>
  </si>
  <si>
    <t>ТЛО-10 50/5 0,5/10P</t>
  </si>
  <si>
    <t>ТЛО-10 75/5 0,5/10P</t>
  </si>
  <si>
    <t>ТЛО-10 100/5 0,5/10P</t>
  </si>
  <si>
    <t>ТЛО-10 200/5 0,5/10P</t>
  </si>
  <si>
    <t>ТЛО-10 300/5 0,5/10P</t>
  </si>
  <si>
    <t>ТЛО-10 400/5 0,5/10P</t>
  </si>
  <si>
    <t>ТЛО-10 500/5 0,5/10P</t>
  </si>
  <si>
    <t>ТЛО-10 800/5 0,5/10P</t>
  </si>
  <si>
    <t>ТЛО-10 1000/5 0,5/10P</t>
  </si>
  <si>
    <t>ТЛО-10 1500/5 0,5/10P</t>
  </si>
  <si>
    <t>ТЛО-10 50/5 0,5S/10P</t>
  </si>
  <si>
    <t>ТЛО-10 75/5 0,5S/10P</t>
  </si>
  <si>
    <t>ТЛО-10 100/5 0,5S/10P</t>
  </si>
  <si>
    <t>ТЛО-10 150/5 0,5S/10P</t>
  </si>
  <si>
    <t>ТЛО-10 200/5 0,5S/10P</t>
  </si>
  <si>
    <t>ТЛО-10 300/5 0,5S/10P</t>
  </si>
  <si>
    <t>ТЛО-10 400/5 0,5S/10P</t>
  </si>
  <si>
    <t>ТЛО-10 500/5 0,5S/10P</t>
  </si>
  <si>
    <t>ТЛО-10 600/5 0,5S/10P</t>
  </si>
  <si>
    <t>ТЛО-10 800/5 0,5S/10P</t>
  </si>
  <si>
    <t>ТЛО-10 1000/5 0,5S/10P</t>
  </si>
  <si>
    <t>ТЛО-10 1500/5 0,5S/10P</t>
  </si>
  <si>
    <t>ТЛО-10  2500/5 0.2S/0.5/10P/10P/10P</t>
  </si>
  <si>
    <t>ТЛО-10 1500/5 0.2S/0.5/10P/10P</t>
  </si>
  <si>
    <t>ТШ-ЭК 100/5 0,5/10P</t>
  </si>
  <si>
    <t>ТШ-ЭК 100/5 0,5S/10P</t>
  </si>
  <si>
    <t>ТШ-ЭК 150/5 0,5/10P</t>
  </si>
  <si>
    <t>ТШ-ЭК 150/5 0,5S/10P</t>
  </si>
  <si>
    <t>ТШ-ЭК 200/5 0,5/10P</t>
  </si>
  <si>
    <t>ТШ-ЭК 200/5 0,5S/10P</t>
  </si>
  <si>
    <t>ТШ-ЭК 250/5 0,5/10P</t>
  </si>
  <si>
    <t>ТШ-ЭК 250/5 0,5S/10P</t>
  </si>
  <si>
    <t>ТЛО-10 200/5 0,5/0,5S/10P/10P</t>
  </si>
  <si>
    <t>ТЛО-10 300/5 0,5/0,5S/10P/10P</t>
  </si>
  <si>
    <t>ТЛО-10 400/5 0,5/0,5S/10P/10P</t>
  </si>
  <si>
    <t>ТЛО-10 500/5 0,5/0,5S/10P/10P</t>
  </si>
  <si>
    <t>ТЛО-10 100/5 0,5/0,5S/10P/10P</t>
  </si>
  <si>
    <t>ТЛО-10 2000/5 0,5S/0,5/10P</t>
  </si>
  <si>
    <t>ТЛО-10 2000/5 0,5/0,5/10P</t>
  </si>
  <si>
    <t>ТЛО-10 50/5 0,5S/10P/10P</t>
  </si>
  <si>
    <t>ТЛО-10 100/5 0,5S/10P/10P</t>
  </si>
  <si>
    <t>ТЛО-10 150/5 0,5S/10P/10P</t>
  </si>
  <si>
    <t>ТЛО-10 200/5 0,5S/10P/10P</t>
  </si>
  <si>
    <t>ТЛО-10 300/5 0,5S/10P/10P</t>
  </si>
  <si>
    <t>ТЛО-10 1000/5 0,5S/10P/10P</t>
  </si>
  <si>
    <t>3ВВ</t>
  </si>
  <si>
    <t>24-1000</t>
  </si>
</sst>
</file>

<file path=xl/styles.xml><?xml version="1.0" encoding="utf-8"?>
<styleSheet xmlns="http://schemas.openxmlformats.org/spreadsheetml/2006/main">
  <numFmts count="5"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_-* #,##0_р_._-;\-* #,##0_р_._-;_-* &quot;-&quot;??_р_._-;_-@_-"/>
    <numFmt numFmtId="165" formatCode="_-* #,##0&quot;р.&quot;_-;\-* #,##0&quot;р.&quot;_-;_-* &quot;-&quot;??&quot;р.&quot;_-;_-@_-"/>
  </numFmts>
  <fonts count="29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i/>
      <sz val="20"/>
      <name val="Arial Cyr"/>
      <charset val="204"/>
    </font>
    <font>
      <sz val="22"/>
      <name val="Arial Cyr"/>
      <charset val="204"/>
    </font>
    <font>
      <sz val="16"/>
      <name val="Arial Cyr"/>
      <charset val="204"/>
    </font>
    <font>
      <i/>
      <sz val="14"/>
      <name val="Arial Cyr"/>
      <charset val="204"/>
    </font>
    <font>
      <i/>
      <sz val="16"/>
      <name val="Arial Cyr"/>
      <charset val="204"/>
    </font>
    <font>
      <b/>
      <i/>
      <sz val="12"/>
      <name val="Arial Cyr"/>
      <charset val="204"/>
    </font>
    <font>
      <i/>
      <sz val="10"/>
      <name val="Arial Cyr"/>
      <charset val="204"/>
    </font>
    <font>
      <b/>
      <i/>
      <sz val="10"/>
      <name val="Arial Cyr"/>
      <charset val="204"/>
    </font>
    <font>
      <sz val="12"/>
      <name val="Arial Cyr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i/>
      <sz val="12"/>
      <color indexed="9"/>
      <name val="Arial"/>
      <family val="2"/>
      <charset val="204"/>
    </font>
    <font>
      <sz val="14"/>
      <name val="Times New Roman"/>
      <family val="1"/>
      <charset val="204"/>
    </font>
    <font>
      <b/>
      <i/>
      <sz val="14"/>
      <color indexed="57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sz val="14"/>
      <name val="Arial"/>
      <family val="2"/>
      <charset val="204"/>
    </font>
    <font>
      <sz val="16"/>
      <name val="Times New Roman"/>
      <family val="1"/>
      <charset val="204"/>
    </font>
    <font>
      <sz val="10"/>
      <name val="Arial Cyr"/>
    </font>
    <font>
      <sz val="10"/>
      <color rgb="FFFF0000"/>
      <name val="Arial Cyr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b/>
      <sz val="10"/>
      <color theme="0"/>
      <name val="Arial Cyr"/>
      <charset val="204"/>
    </font>
    <font>
      <b/>
      <sz val="11"/>
      <color theme="1"/>
      <name val="Calibri"/>
      <family val="2"/>
      <charset val="204"/>
      <scheme val="minor"/>
    </font>
    <font>
      <sz val="8"/>
      <color indexed="8"/>
      <name val="Arial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rgb="FFFF0000"/>
      <name val="Arial Cyr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2">
    <xf numFmtId="0" fontId="0" fillId="0" borderId="0" xfId="0"/>
    <xf numFmtId="164" fontId="0" fillId="0" borderId="0" xfId="0" applyNumberFormat="1"/>
    <xf numFmtId="0" fontId="21" fillId="0" borderId="0" xfId="0" applyFont="1" applyFill="1" applyBorder="1"/>
    <xf numFmtId="0" fontId="22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41" fontId="21" fillId="5" borderId="2" xfId="0" applyNumberFormat="1" applyFont="1" applyFill="1" applyBorder="1"/>
    <xf numFmtId="0" fontId="0" fillId="5" borderId="0" xfId="0" applyFill="1" applyProtection="1">
      <protection locked="0"/>
    </xf>
    <xf numFmtId="0" fontId="0" fillId="0" borderId="0" xfId="0" applyProtection="1">
      <protection locked="0"/>
    </xf>
    <xf numFmtId="164" fontId="0" fillId="0" borderId="0" xfId="3" applyNumberFormat="1" applyFont="1" applyProtection="1">
      <protection locked="0"/>
    </xf>
    <xf numFmtId="14" fontId="0" fillId="0" borderId="0" xfId="0" applyNumberFormat="1"/>
    <xf numFmtId="44" fontId="0" fillId="0" borderId="0" xfId="0" applyNumberFormat="1"/>
    <xf numFmtId="44" fontId="0" fillId="0" borderId="0" xfId="1" applyFont="1"/>
    <xf numFmtId="1" fontId="0" fillId="5" borderId="0" xfId="0" applyNumberFormat="1" applyFill="1" applyProtection="1">
      <protection locked="0"/>
    </xf>
    <xf numFmtId="1" fontId="0" fillId="0" borderId="0" xfId="0" applyNumberFormat="1"/>
    <xf numFmtId="49" fontId="0" fillId="0" borderId="0" xfId="0" applyNumberFormat="1"/>
    <xf numFmtId="0" fontId="6" fillId="0" borderId="3" xfId="0" applyFont="1" applyBorder="1" applyAlignment="1" applyProtection="1">
      <protection locked="0"/>
    </xf>
    <xf numFmtId="14" fontId="7" fillId="0" borderId="0" xfId="0" applyNumberFormat="1" applyFont="1" applyBorder="1" applyAlignment="1" applyProtection="1">
      <alignment horizontal="center"/>
      <protection locked="0"/>
    </xf>
    <xf numFmtId="49" fontId="6" fillId="0" borderId="0" xfId="0" applyNumberFormat="1" applyFont="1" applyBorder="1" applyAlignment="1" applyProtection="1">
      <alignment horizontal="center"/>
      <protection locked="0"/>
    </xf>
    <xf numFmtId="49" fontId="6" fillId="0" borderId="3" xfId="0" applyNumberFormat="1" applyFont="1" applyBorder="1" applyAlignment="1" applyProtection="1">
      <protection locked="0"/>
    </xf>
    <xf numFmtId="0" fontId="13" fillId="0" borderId="4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top" wrapText="1"/>
      <protection locked="0"/>
    </xf>
    <xf numFmtId="0" fontId="12" fillId="0" borderId="5" xfId="0" applyFont="1" applyFill="1" applyBorder="1" applyAlignment="1" applyProtection="1">
      <alignment horizontal="center" vertical="center" wrapText="1"/>
      <protection locked="0"/>
    </xf>
    <xf numFmtId="0" fontId="12" fillId="0" borderId="6" xfId="0" applyFont="1" applyFill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top" wrapText="1"/>
      <protection locked="0"/>
    </xf>
    <xf numFmtId="0" fontId="12" fillId="0" borderId="0" xfId="0" applyFont="1" applyBorder="1" applyAlignment="1" applyProtection="1">
      <alignment horizontal="center" vertical="top" wrapText="1"/>
      <protection locked="0"/>
    </xf>
    <xf numFmtId="0" fontId="0" fillId="0" borderId="7" xfId="0" applyBorder="1" applyProtection="1">
      <protection locked="0"/>
    </xf>
    <xf numFmtId="164" fontId="2" fillId="0" borderId="2" xfId="3" applyNumberFormat="1" applyFont="1" applyBorder="1" applyAlignment="1" applyProtection="1">
      <alignment horizontal="center"/>
      <protection locked="0"/>
    </xf>
    <xf numFmtId="44" fontId="0" fillId="0" borderId="2" xfId="0" applyNumberFormat="1" applyBorder="1"/>
    <xf numFmtId="14" fontId="0" fillId="0" borderId="5" xfId="0" applyNumberFormat="1" applyBorder="1"/>
    <xf numFmtId="0" fontId="0" fillId="0" borderId="8" xfId="0" applyBorder="1" applyProtection="1">
      <protection locked="0"/>
    </xf>
    <xf numFmtId="44" fontId="0" fillId="0" borderId="1" xfId="0" applyNumberFormat="1" applyBorder="1"/>
    <xf numFmtId="14" fontId="0" fillId="0" borderId="6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44" fontId="0" fillId="0" borderId="10" xfId="0" applyNumberFormat="1" applyBorder="1"/>
    <xf numFmtId="14" fontId="0" fillId="0" borderId="11" xfId="0" applyNumberFormat="1" applyBorder="1"/>
    <xf numFmtId="164" fontId="0" fillId="0" borderId="2" xfId="3" applyNumberFormat="1" applyFont="1" applyBorder="1" applyProtection="1">
      <protection locked="0"/>
    </xf>
    <xf numFmtId="44" fontId="0" fillId="0" borderId="2" xfId="1" applyFont="1" applyBorder="1"/>
    <xf numFmtId="164" fontId="0" fillId="0" borderId="1" xfId="3" applyNumberFormat="1" applyFont="1" applyBorder="1" applyProtection="1">
      <protection locked="0"/>
    </xf>
    <xf numFmtId="44" fontId="0" fillId="0" borderId="1" xfId="1" applyFont="1" applyBorder="1"/>
    <xf numFmtId="44" fontId="0" fillId="0" borderId="10" xfId="1" applyFont="1" applyBorder="1"/>
    <xf numFmtId="14" fontId="0" fillId="0" borderId="1" xfId="0" applyNumberFormat="1" applyBorder="1"/>
    <xf numFmtId="1" fontId="0" fillId="0" borderId="1" xfId="0" applyNumberFormat="1" applyBorder="1"/>
    <xf numFmtId="49" fontId="0" fillId="0" borderId="1" xfId="0" applyNumberFormat="1" applyBorder="1"/>
    <xf numFmtId="0" fontId="0" fillId="6" borderId="1" xfId="0" applyFill="1" applyBorder="1"/>
    <xf numFmtId="0" fontId="0" fillId="6" borderId="10" xfId="0" applyFill="1" applyBorder="1"/>
    <xf numFmtId="0" fontId="0" fillId="0" borderId="8" xfId="0" applyNumberFormat="1" applyBorder="1"/>
    <xf numFmtId="0" fontId="0" fillId="0" borderId="9" xfId="0" applyNumberFormat="1" applyBorder="1"/>
    <xf numFmtId="0" fontId="21" fillId="0" borderId="1" xfId="0" applyFont="1" applyBorder="1"/>
    <xf numFmtId="0" fontId="0" fillId="5" borderId="0" xfId="0" applyFill="1"/>
    <xf numFmtId="0" fontId="0" fillId="0" borderId="1" xfId="0" applyFont="1" applyBorder="1"/>
    <xf numFmtId="0" fontId="0" fillId="0" borderId="0" xfId="0" applyFont="1"/>
    <xf numFmtId="2" fontId="0" fillId="0" borderId="0" xfId="0" applyNumberFormat="1"/>
    <xf numFmtId="0" fontId="0" fillId="0" borderId="1" xfId="0" applyNumberFormat="1" applyFont="1" applyBorder="1"/>
    <xf numFmtId="0" fontId="12" fillId="0" borderId="1" xfId="0" applyFont="1" applyBorder="1" applyAlignment="1" applyProtection="1">
      <alignment horizontal="center" vertical="top" wrapText="1"/>
      <protection locked="0"/>
    </xf>
    <xf numFmtId="0" fontId="3" fillId="0" borderId="0" xfId="0" applyFont="1" applyAlignment="1" applyProtection="1">
      <protection locked="0"/>
    </xf>
    <xf numFmtId="0" fontId="4" fillId="0" borderId="0" xfId="0" applyFont="1" applyAlignment="1" applyProtection="1">
      <protection locked="0"/>
    </xf>
    <xf numFmtId="0" fontId="5" fillId="0" borderId="0" xfId="0" applyFont="1" applyAlignment="1" applyProtection="1">
      <alignment horizontal="right"/>
      <protection locked="0"/>
    </xf>
    <xf numFmtId="0" fontId="8" fillId="0" borderId="0" xfId="0" applyFont="1" applyAlignment="1" applyProtection="1">
      <alignment horizontal="left" indent="5"/>
      <protection locked="0"/>
    </xf>
    <xf numFmtId="0" fontId="0" fillId="0" borderId="0" xfId="0" applyBorder="1" applyAlignment="1" applyProtection="1">
      <alignment horizontal="center" vertical="top"/>
      <protection locked="0"/>
    </xf>
    <xf numFmtId="0" fontId="1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0" xfId="0" applyFont="1" applyProtection="1">
      <protection locked="0"/>
    </xf>
    <xf numFmtId="0" fontId="11" fillId="2" borderId="13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vertical="center" wrapText="1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2" borderId="2" xfId="0" applyFont="1" applyFill="1" applyBorder="1" applyAlignment="1" applyProtection="1">
      <alignment horizontal="center" vertical="center"/>
      <protection locked="0"/>
    </xf>
    <xf numFmtId="0" fontId="12" fillId="2" borderId="2" xfId="0" applyFont="1" applyFill="1" applyBorder="1" applyAlignment="1" applyProtection="1">
      <alignment vertical="center" wrapText="1"/>
      <protection locked="0"/>
    </xf>
    <xf numFmtId="0" fontId="12" fillId="2" borderId="1" xfId="0" applyFont="1" applyFill="1" applyBorder="1" applyAlignment="1" applyProtection="1">
      <alignment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1" fillId="2" borderId="10" xfId="0" applyFont="1" applyFill="1" applyBorder="1" applyAlignment="1" applyProtection="1">
      <alignment horizontal="center" vertical="center"/>
      <protection locked="0"/>
    </xf>
    <xf numFmtId="0" fontId="12" fillId="2" borderId="10" xfId="0" applyFont="1" applyFill="1" applyBorder="1" applyAlignment="1" applyProtection="1">
      <alignment horizontal="left" vertical="center" wrapText="1"/>
      <protection locked="0"/>
    </xf>
    <xf numFmtId="0" fontId="17" fillId="0" borderId="0" xfId="0" applyFont="1" applyProtection="1">
      <protection locked="0"/>
    </xf>
    <xf numFmtId="0" fontId="12" fillId="0" borderId="1" xfId="0" applyFont="1" applyBorder="1" applyAlignment="1" applyProtection="1">
      <alignment horizontal="center" vertical="top" wrapText="1"/>
    </xf>
    <xf numFmtId="14" fontId="0" fillId="0" borderId="10" xfId="0" applyNumberFormat="1" applyBorder="1"/>
    <xf numFmtId="9" fontId="0" fillId="0" borderId="1" xfId="2" applyFont="1" applyBorder="1"/>
    <xf numFmtId="1" fontId="0" fillId="0" borderId="10" xfId="0" applyNumberFormat="1" applyBorder="1"/>
    <xf numFmtId="44" fontId="20" fillId="0" borderId="10" xfId="1" applyFont="1" applyBorder="1"/>
    <xf numFmtId="0" fontId="0" fillId="0" borderId="1" xfId="0" applyNumberFormat="1" applyBorder="1"/>
    <xf numFmtId="9" fontId="0" fillId="0" borderId="0" xfId="2" applyFont="1"/>
    <xf numFmtId="44" fontId="20" fillId="0" borderId="1" xfId="1" applyFont="1" applyBorder="1"/>
    <xf numFmtId="0" fontId="0" fillId="0" borderId="15" xfId="0" applyBorder="1"/>
    <xf numFmtId="14" fontId="0" fillId="0" borderId="15" xfId="0" applyNumberFormat="1" applyBorder="1"/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0" fontId="12" fillId="2" borderId="6" xfId="0" applyFont="1" applyFill="1" applyBorder="1" applyAlignment="1" applyProtection="1">
      <alignment horizontal="center" wrapText="1"/>
      <protection locked="0"/>
    </xf>
    <xf numFmtId="0" fontId="24" fillId="8" borderId="22" xfId="0" applyFont="1" applyFill="1" applyBorder="1"/>
    <xf numFmtId="43" fontId="23" fillId="7" borderId="23" xfId="3" applyFont="1" applyFill="1" applyBorder="1"/>
    <xf numFmtId="43" fontId="0" fillId="0" borderId="0" xfId="0" applyNumberFormat="1"/>
    <xf numFmtId="1" fontId="0" fillId="0" borderId="15" xfId="0" applyNumberFormat="1" applyBorder="1"/>
    <xf numFmtId="44" fontId="20" fillId="0" borderId="15" xfId="1" applyFont="1" applyBorder="1"/>
    <xf numFmtId="14" fontId="0" fillId="0" borderId="0" xfId="0" applyNumberFormat="1" applyBorder="1"/>
    <xf numFmtId="0" fontId="0" fillId="0" borderId="24" xfId="0" applyBorder="1"/>
    <xf numFmtId="44" fontId="0" fillId="0" borderId="15" xfId="0" applyNumberFormat="1" applyBorder="1"/>
    <xf numFmtId="14" fontId="0" fillId="0" borderId="25" xfId="0" applyNumberFormat="1" applyBorder="1"/>
    <xf numFmtId="0" fontId="0" fillId="0" borderId="2" xfId="0" applyBorder="1" applyAlignment="1" applyProtection="1">
      <alignment horizontal="left" vertical="center" wrapText="1"/>
      <protection hidden="1"/>
    </xf>
    <xf numFmtId="41" fontId="0" fillId="0" borderId="2" xfId="0" applyNumberFormat="1" applyBorder="1" applyProtection="1">
      <protection hidden="1"/>
    </xf>
    <xf numFmtId="0" fontId="0" fillId="0" borderId="1" xfId="0" applyBorder="1" applyAlignment="1" applyProtection="1">
      <alignment horizontal="left" vertical="center" wrapText="1"/>
      <protection hidden="1"/>
    </xf>
    <xf numFmtId="0" fontId="0" fillId="0" borderId="2" xfId="0" applyBorder="1" applyProtection="1">
      <protection locked="0" hidden="1"/>
    </xf>
    <xf numFmtId="14" fontId="0" fillId="0" borderId="2" xfId="0" applyNumberFormat="1" applyBorder="1"/>
    <xf numFmtId="14" fontId="0" fillId="0" borderId="15" xfId="0" applyNumberFormat="1" applyBorder="1"/>
    <xf numFmtId="14" fontId="0" fillId="0" borderId="0" xfId="0" applyNumberFormat="1"/>
    <xf numFmtId="1" fontId="0" fillId="0" borderId="0" xfId="0" applyNumberFormat="1" applyProtection="1">
      <protection locked="0"/>
    </xf>
    <xf numFmtId="0" fontId="12" fillId="0" borderId="1" xfId="0" applyFont="1" applyFill="1" applyBorder="1" applyAlignment="1" applyProtection="1">
      <alignment horizontal="center" vertical="top" wrapText="1"/>
      <protection locked="0"/>
    </xf>
    <xf numFmtId="0" fontId="12" fillId="9" borderId="1" xfId="0" applyFont="1" applyFill="1" applyBorder="1" applyAlignment="1" applyProtection="1">
      <alignment horizontal="center" vertical="top" wrapText="1"/>
      <protection locked="0"/>
    </xf>
    <xf numFmtId="0" fontId="25" fillId="6" borderId="10" xfId="0" applyFont="1" applyFill="1" applyBorder="1" applyAlignment="1">
      <alignment horizontal="center"/>
    </xf>
    <xf numFmtId="0" fontId="0" fillId="0" borderId="26" xfId="0" applyBorder="1" applyAlignment="1" applyProtection="1">
      <alignment horizontal="center"/>
      <protection locked="0"/>
    </xf>
    <xf numFmtId="0" fontId="26" fillId="10" borderId="1" xfId="0" applyFont="1" applyFill="1" applyBorder="1" applyAlignment="1">
      <alignment wrapText="1"/>
    </xf>
    <xf numFmtId="0" fontId="0" fillId="0" borderId="26" xfId="0" applyBorder="1" applyProtection="1">
      <protection locked="0"/>
    </xf>
    <xf numFmtId="0" fontId="0" fillId="0" borderId="0" xfId="0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0" borderId="1" xfId="0" applyBorder="1" applyAlignment="1">
      <alignment horizontal="center" vertical="center"/>
    </xf>
    <xf numFmtId="14" fontId="0" fillId="0" borderId="0" xfId="0" applyNumberFormat="1"/>
    <xf numFmtId="14" fontId="0" fillId="0" borderId="15" xfId="0" applyNumberFormat="1" applyBorder="1"/>
    <xf numFmtId="14" fontId="0" fillId="0" borderId="1" xfId="0" applyNumberFormat="1" applyBorder="1"/>
    <xf numFmtId="14" fontId="0" fillId="0" borderId="10" xfId="0" applyNumberFormat="1" applyBorder="1"/>
    <xf numFmtId="14" fontId="0" fillId="0" borderId="25" xfId="0" applyNumberFormat="1" applyBorder="1"/>
    <xf numFmtId="14" fontId="0" fillId="0" borderId="0" xfId="0" applyNumberFormat="1"/>
    <xf numFmtId="14" fontId="0" fillId="0" borderId="0" xfId="0" applyNumberFormat="1"/>
    <xf numFmtId="14" fontId="0" fillId="0" borderId="15" xfId="0" applyNumberFormat="1" applyBorder="1"/>
    <xf numFmtId="165" fontId="1" fillId="0" borderId="1" xfId="1" applyNumberFormat="1" applyFont="1" applyBorder="1"/>
    <xf numFmtId="0" fontId="21" fillId="0" borderId="0" xfId="0" applyFont="1" applyBorder="1"/>
    <xf numFmtId="165" fontId="1" fillId="0" borderId="0" xfId="1" applyNumberFormat="1" applyFont="1" applyBorder="1"/>
    <xf numFmtId="0" fontId="0" fillId="5" borderId="1" xfId="0" applyFill="1" applyBorder="1" applyAlignment="1">
      <alignment horizontal="center" vertical="center"/>
    </xf>
    <xf numFmtId="165" fontId="0" fillId="0" borderId="0" xfId="0" applyNumberFormat="1"/>
    <xf numFmtId="165" fontId="0" fillId="0" borderId="1" xfId="0" applyNumberFormat="1" applyBorder="1"/>
    <xf numFmtId="165" fontId="0" fillId="0" borderId="10" xfId="0" applyNumberFormat="1" applyBorder="1"/>
    <xf numFmtId="0" fontId="0" fillId="11" borderId="1" xfId="0" applyFill="1" applyBorder="1"/>
    <xf numFmtId="0" fontId="0" fillId="0" borderId="1" xfId="0" applyFill="1" applyBorder="1"/>
    <xf numFmtId="43" fontId="0" fillId="0" borderId="1" xfId="3" applyFont="1" applyFill="1" applyBorder="1"/>
    <xf numFmtId="9" fontId="1" fillId="0" borderId="1" xfId="2" applyFont="1" applyFill="1" applyBorder="1"/>
    <xf numFmtId="0" fontId="0" fillId="9" borderId="1" xfId="0" applyFont="1" applyFill="1" applyBorder="1"/>
    <xf numFmtId="0" fontId="0" fillId="0" borderId="1" xfId="0" applyBorder="1" applyAlignment="1"/>
    <xf numFmtId="0" fontId="12" fillId="0" borderId="1" xfId="0" applyFont="1" applyBorder="1" applyAlignment="1" applyProtection="1">
      <alignment horizontal="center" vertical="top" wrapText="1"/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8" fillId="0" borderId="0" xfId="0" applyFont="1"/>
    <xf numFmtId="14" fontId="0" fillId="0" borderId="15" xfId="0" applyNumberFormat="1" applyBorder="1"/>
    <xf numFmtId="14" fontId="0" fillId="0" borderId="25" xfId="0" applyNumberFormat="1" applyBorder="1"/>
    <xf numFmtId="14" fontId="0" fillId="0" borderId="0" xfId="0" applyNumberFormat="1"/>
    <xf numFmtId="0" fontId="12" fillId="2" borderId="10" xfId="0" applyFont="1" applyFill="1" applyBorder="1" applyAlignment="1" applyProtection="1">
      <alignment horizontal="left" vertical="center" wrapText="1"/>
      <protection locked="0"/>
    </xf>
    <xf numFmtId="0" fontId="12" fillId="2" borderId="2" xfId="0" applyFont="1" applyFill="1" applyBorder="1" applyAlignment="1" applyProtection="1">
      <alignment horizontal="left" vertical="center" wrapText="1"/>
      <protection locked="0"/>
    </xf>
    <xf numFmtId="0" fontId="11" fillId="2" borderId="10" xfId="0" applyFont="1" applyFill="1" applyBorder="1" applyAlignment="1" applyProtection="1">
      <alignment horizontal="center" vertical="center"/>
      <protection locked="0"/>
    </xf>
    <xf numFmtId="0" fontId="11" fillId="2" borderId="2" xfId="0" applyFont="1" applyFill="1" applyBorder="1" applyAlignment="1" applyProtection="1">
      <alignment horizontal="center" vertical="center"/>
      <protection locked="0"/>
    </xf>
    <xf numFmtId="0" fontId="15" fillId="0" borderId="2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2" fillId="0" borderId="0" xfId="0" applyFont="1" applyBorder="1" applyAlignment="1" applyProtection="1">
      <alignment vertical="top" wrapText="1"/>
      <protection locked="0"/>
    </xf>
    <xf numFmtId="0" fontId="18" fillId="0" borderId="20" xfId="0" applyFont="1" applyBorder="1" applyAlignment="1" applyProtection="1">
      <alignment horizontal="center" vertical="center" wrapText="1"/>
      <protection locked="0"/>
    </xf>
    <xf numFmtId="0" fontId="18" fillId="0" borderId="20" xfId="0" applyFont="1" applyBorder="1" applyAlignment="1" applyProtection="1">
      <alignment horizontal="center" vertical="top" wrapText="1"/>
      <protection locked="0"/>
    </xf>
    <xf numFmtId="0" fontId="19" fillId="0" borderId="21" xfId="0" applyFont="1" applyBorder="1" applyAlignment="1" applyProtection="1">
      <alignment horizontal="center" vertical="center" wrapText="1"/>
      <protection locked="0"/>
    </xf>
    <xf numFmtId="0" fontId="12" fillId="0" borderId="21" xfId="0" applyFont="1" applyBorder="1" applyAlignment="1" applyProtection="1">
      <alignment horizontal="center" vertical="top" wrapText="1"/>
      <protection locked="0"/>
    </xf>
    <xf numFmtId="0" fontId="19" fillId="0" borderId="16" xfId="0" applyFont="1" applyBorder="1" applyAlignment="1" applyProtection="1">
      <alignment horizontal="center" vertical="center" wrapText="1"/>
      <protection locked="0"/>
    </xf>
    <xf numFmtId="0" fontId="12" fillId="0" borderId="16" xfId="0" applyFont="1" applyBorder="1" applyAlignment="1" applyProtection="1">
      <alignment horizontal="center" vertical="top" wrapText="1"/>
      <protection locked="0"/>
    </xf>
    <xf numFmtId="0" fontId="12" fillId="2" borderId="6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4" fontId="7" fillId="0" borderId="3" xfId="0" applyNumberFormat="1" applyFont="1" applyBorder="1" applyAlignment="1" applyProtection="1">
      <alignment horizontal="center"/>
      <protection locked="0"/>
    </xf>
    <xf numFmtId="0" fontId="12" fillId="0" borderId="1" xfId="0" applyFont="1" applyBorder="1" applyAlignment="1" applyProtection="1">
      <alignment horizontal="center" vertical="top" wrapText="1"/>
      <protection locked="0"/>
    </xf>
    <xf numFmtId="49" fontId="6" fillId="0" borderId="3" xfId="0" applyNumberFormat="1" applyFont="1" applyBorder="1" applyAlignment="1" applyProtection="1">
      <alignment horizontal="center" wrapText="1"/>
      <protection locked="0"/>
    </xf>
    <xf numFmtId="49" fontId="6" fillId="0" borderId="3" xfId="0" applyNumberFormat="1" applyFont="1" applyBorder="1" applyAlignment="1" applyProtection="1">
      <alignment horizontal="center"/>
      <protection locked="0"/>
    </xf>
    <xf numFmtId="0" fontId="15" fillId="2" borderId="6" xfId="0" applyFont="1" applyFill="1" applyBorder="1" applyAlignment="1" applyProtection="1">
      <alignment horizontal="center" vertical="center" wrapText="1"/>
      <protection locked="0"/>
    </xf>
    <xf numFmtId="0" fontId="15" fillId="2" borderId="16" xfId="0" applyFont="1" applyFill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/>
      <protection locked="0"/>
    </xf>
    <xf numFmtId="0" fontId="14" fillId="3" borderId="17" xfId="0" applyFont="1" applyFill="1" applyBorder="1" applyAlignment="1" applyProtection="1">
      <alignment horizontal="center" vertical="center" wrapText="1"/>
      <protection locked="0"/>
    </xf>
    <xf numFmtId="0" fontId="14" fillId="3" borderId="12" xfId="0" applyFont="1" applyFill="1" applyBorder="1" applyAlignment="1" applyProtection="1">
      <alignment horizontal="center" vertical="center" wrapText="1"/>
      <protection locked="0"/>
    </xf>
    <xf numFmtId="0" fontId="14" fillId="3" borderId="17" xfId="0" applyFont="1" applyFill="1" applyBorder="1" applyAlignment="1" applyProtection="1">
      <alignment horizontal="center" wrapText="1"/>
      <protection locked="0"/>
    </xf>
    <xf numFmtId="0" fontId="14" fillId="3" borderId="12" xfId="0" applyFont="1" applyFill="1" applyBorder="1" applyAlignment="1" applyProtection="1">
      <alignment horizontal="center" wrapText="1"/>
      <protection locked="0"/>
    </xf>
    <xf numFmtId="0" fontId="14" fillId="3" borderId="18" xfId="0" applyFont="1" applyFill="1" applyBorder="1" applyAlignment="1" applyProtection="1">
      <alignment horizontal="center" wrapText="1"/>
      <protection locked="0"/>
    </xf>
    <xf numFmtId="0" fontId="12" fillId="2" borderId="6" xfId="0" applyFont="1" applyFill="1" applyBorder="1" applyAlignment="1" applyProtection="1">
      <alignment vertical="center" wrapText="1"/>
      <protection locked="0"/>
    </xf>
    <xf numFmtId="0" fontId="12" fillId="2" borderId="16" xfId="0" applyFont="1" applyFill="1" applyBorder="1" applyAlignment="1" applyProtection="1">
      <alignment vertical="center" wrapText="1"/>
      <protection locked="0"/>
    </xf>
    <xf numFmtId="0" fontId="12" fillId="0" borderId="10" xfId="0" applyFont="1" applyBorder="1" applyAlignment="1" applyProtection="1">
      <alignment horizontal="center" vertical="top" wrapText="1"/>
      <protection locked="0"/>
    </xf>
    <xf numFmtId="0" fontId="12" fillId="0" borderId="15" xfId="0" applyFont="1" applyBorder="1" applyAlignment="1" applyProtection="1">
      <alignment horizontal="center" vertical="top" wrapText="1"/>
      <protection locked="0"/>
    </xf>
    <xf numFmtId="0" fontId="12" fillId="0" borderId="2" xfId="0" applyFont="1" applyBorder="1" applyAlignment="1" applyProtection="1">
      <alignment horizontal="center" vertical="top" wrapText="1"/>
      <protection locked="0"/>
    </xf>
    <xf numFmtId="0" fontId="9" fillId="0" borderId="19" xfId="0" applyFont="1" applyBorder="1" applyAlignment="1" applyProtection="1">
      <alignment horizontal="center" vertical="top"/>
      <protection locked="0"/>
    </xf>
    <xf numFmtId="49" fontId="6" fillId="0" borderId="3" xfId="0" applyNumberFormat="1" applyFont="1" applyBorder="1" applyAlignment="1" applyProtection="1">
      <alignment horizontal="left" wrapText="1"/>
      <protection locked="0"/>
    </xf>
    <xf numFmtId="49" fontId="6" fillId="0" borderId="3" xfId="0" applyNumberFormat="1" applyFont="1" applyBorder="1" applyAlignment="1" applyProtection="1">
      <alignment horizontal="left"/>
      <protection locked="0"/>
    </xf>
    <xf numFmtId="0" fontId="12" fillId="2" borderId="11" xfId="0" applyFont="1" applyFill="1" applyBorder="1" applyAlignment="1" applyProtection="1">
      <alignment horizontal="center" vertical="center" wrapText="1"/>
      <protection locked="0"/>
    </xf>
    <xf numFmtId="0" fontId="12" fillId="2" borderId="5" xfId="0" applyFont="1" applyFill="1" applyBorder="1" applyAlignment="1" applyProtection="1">
      <alignment horizontal="center" vertical="center" wrapText="1"/>
      <protection locked="0"/>
    </xf>
    <xf numFmtId="0" fontId="11" fillId="2" borderId="15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0" fillId="11" borderId="1" xfId="0" applyFill="1" applyBorder="1" applyAlignment="1">
      <alignment horizontal="center"/>
    </xf>
  </cellXfs>
  <cellStyles count="4">
    <cellStyle name="Денежный" xfId="1" builtinId="4"/>
    <cellStyle name="Обычный" xfId="0" builtinId="0"/>
    <cellStyle name="Процентный" xfId="2" builtinId="5"/>
    <cellStyle name="Финансовый" xfId="3" builtinId="3"/>
  </cellStyles>
  <dxfs count="186"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5" formatCode="_-* #,##0.00_р_._-;\-* #,##0.00_р_._-;_-* &quot;-&quot;??_р_._-;_-@_-"/>
    </dxf>
    <dxf>
      <numFmt numFmtId="35" formatCode="_-* #,##0.00_р_._-;\-* #,##0.00_р_._-;_-* &quot;-&quot;??_р_._-;_-@_-"/>
    </dxf>
    <dxf>
      <numFmt numFmtId="35" formatCode="_-* #,##0.00_р_._-;\-* #,##0.00_р_._-;_-* &quot;-&quot;??_р_._-;_-@_-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4" formatCode="_-* #,##0.00&quot;р.&quot;_-;\-* #,##0.00&quot;р.&quot;_-;_-* &quot;-&quot;??&quot;р.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* #,##0.00&quot;р.&quot;_-;\-* #,##0.00&quot;р.&quot;_-;_-* &quot;-&quot;??&quot;р.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</dxf>
    <dxf>
      <numFmt numFmtId="19" formatCode="dd/mm/yyyy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9" formatCode="dd/mm/yyyy"/>
    </dxf>
    <dxf>
      <numFmt numFmtId="19" formatCode="dd/mm/yyyy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yr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34" formatCode="_-* #,##0.00&quot;р.&quot;_-;\-* #,##0.00&quot;р.&quot;_-;_-* &quot;-&quot;??&quot;р.&quot;_-;_-@_-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5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38100</xdr:rowOff>
    </xdr:from>
    <xdr:to>
      <xdr:col>1</xdr:col>
      <xdr:colOff>333375</xdr:colOff>
      <xdr:row>1</xdr:row>
      <xdr:rowOff>304800</xdr:rowOff>
    </xdr:to>
    <xdr:pic>
      <xdr:nvPicPr>
        <xdr:cNvPr id="1026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38100"/>
          <a:ext cx="65722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1434353</xdr:colOff>
      <xdr:row>13</xdr:row>
      <xdr:rowOff>3171160</xdr:rowOff>
    </xdr:to>
    <xdr:pic>
      <xdr:nvPicPr>
        <xdr:cNvPr id="3" name="Рисунок 2" descr="7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09975" y="2228850"/>
          <a:ext cx="1428750" cy="3771235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1428749</xdr:colOff>
      <xdr:row>10</xdr:row>
      <xdr:rowOff>0</xdr:rowOff>
    </xdr:from>
    <xdr:to>
      <xdr:col>6</xdr:col>
      <xdr:colOff>1428749</xdr:colOff>
      <xdr:row>13</xdr:row>
      <xdr:rowOff>3127812</xdr:rowOff>
    </xdr:to>
    <xdr:pic>
      <xdr:nvPicPr>
        <xdr:cNvPr id="4" name="Рисунок 3" descr="15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810624" y="2228850"/>
          <a:ext cx="1428750" cy="3727887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1428749</xdr:colOff>
      <xdr:row>10</xdr:row>
      <xdr:rowOff>0</xdr:rowOff>
    </xdr:from>
    <xdr:to>
      <xdr:col>7</xdr:col>
      <xdr:colOff>1428749</xdr:colOff>
      <xdr:row>13</xdr:row>
      <xdr:rowOff>3127812</xdr:rowOff>
    </xdr:to>
    <xdr:pic>
      <xdr:nvPicPr>
        <xdr:cNvPr id="5" name="Рисунок 4" descr="13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239374" y="2228850"/>
          <a:ext cx="1428750" cy="372788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Торчин Антон Евгеньевич" refreshedDate="46045.626754745368" createdVersion="3" refreshedVersion="3" minRefreshableVersion="3" recordCount="182">
  <cacheSource type="worksheet">
    <worksheetSource ref="B112:D294" sheet="расчет"/>
  </cacheSource>
  <cacheFields count="4">
    <cacheField name="Оборудование" numFmtId="0">
      <sharedItems count="25">
        <s v=""/>
        <s v="ET431" u="1"/>
        <s v="MES 114F  (220В ПОСТОЯННОГО, ПЕРЕМЕННОГО ТОКА)" u="1"/>
        <s v="3хПатрон ПТ" u="1"/>
        <s v="GPRS-модем Link ST100, блок питания, Антена на магнитном основании" u="1"/>
        <s v="РВФЗ-10/630" u="1"/>
        <s v="Satec PM130EH Plus" u="1"/>
        <s v="ОПН РТ/TEL 10/11,5" u="1"/>
        <s v="CVM 1.1 ВЕАШ468389.001" u="1"/>
        <s v="ОЛСП1,25М2" u="1"/>
        <s v="РВО-6" u="1"/>
        <s v="ET-331" u="1"/>
        <s v="ВНА-10/630п с ПР-10" u="1"/>
        <s v="3хЗНОЛП-ЭК-10 М1ТА" u="1"/>
        <s v="TER_CM_16_2(220_4)" u="1"/>
        <s v="АГАТ 200. А" u="1"/>
        <s v="ТЗЛК-0,66-70" u="1"/>
        <s v="АГАТ 200. АВ" u="1"/>
        <s v="PAC3200" u="1"/>
        <s v="РВЗ-10/630" u="1"/>
        <s v="BINOM339iU3.57I3.5 " u="1"/>
        <s v="A1802RAL-P4G-DW-4" u="1"/>
        <s v="ТЛО-10 600/5 0,5/10P" u="1"/>
        <s v="РВО-10" u="1"/>
        <s v="ESQ ВВ(F)-12-25/630" u="1"/>
      </sharedItems>
    </cacheField>
    <cacheField name="Стоимость" numFmtId="0">
      <sharedItems containsSemiMixedTypes="0" containsString="0" containsNumber="1" containsInteger="1" minValue="0" maxValue="1"/>
    </cacheField>
    <cacheField name="Количество" numFmtId="0">
      <sharedItems containsSemiMixedTypes="0" containsString="0" containsNumber="1" containsInteger="1" minValue="0" maxValue="1"/>
    </cacheField>
    <cacheField name="Поле1" numFmtId="0" formula="Стоимость*Количество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2">
  <r>
    <x v="0"/>
    <n v="1"/>
    <n v="1"/>
  </r>
  <r>
    <x v="0"/>
    <n v="0"/>
    <n v="1"/>
  </r>
  <r>
    <x v="0"/>
    <n v="0"/>
    <n v="1"/>
  </r>
  <r>
    <x v="0"/>
    <n v="0"/>
    <n v="1"/>
  </r>
  <r>
    <x v="0"/>
    <n v="0"/>
    <n v="0"/>
  </r>
  <r>
    <x v="0"/>
    <n v="0"/>
    <n v="1"/>
  </r>
  <r>
    <x v="0"/>
    <n v="0"/>
    <n v="1"/>
  </r>
  <r>
    <x v="0"/>
    <n v="0"/>
    <n v="1"/>
  </r>
  <r>
    <x v="0"/>
    <n v="0"/>
    <n v="1"/>
  </r>
  <r>
    <x v="0"/>
    <n v="0"/>
    <n v="1"/>
  </r>
  <r>
    <x v="0"/>
    <n v="0"/>
    <n v="1"/>
  </r>
  <r>
    <x v="0"/>
    <n v="0"/>
    <n v="1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1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1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1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1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1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1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1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1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1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 " updatedVersion="3" minRefreshableVersion="3" showCalcMbrs="0" useAutoFormatting="1" itemPrintTitles="1" createdVersion="3" indent="0" outline="1" outlineData="1" multipleFieldFilters="0" rowHeaderCaption="Применяемое оборудование">
  <location ref="F61:I64" firstHeaderRow="1" firstDataRow="2" firstDataCol="1"/>
  <pivotFields count="4">
    <pivotField axis="axisRow" showAll="0" sortType="ascending">
      <items count="26">
        <item x="0"/>
        <item m="1" x="13"/>
        <item m="1" x="3"/>
        <item m="1" x="21"/>
        <item m="1" x="20"/>
        <item m="1" x="8"/>
        <item m="1" x="24"/>
        <item m="1" x="11"/>
        <item m="1" x="1"/>
        <item m="1" x="4"/>
        <item m="1" x="2"/>
        <item m="1" x="18"/>
        <item m="1" x="6"/>
        <item m="1" x="14"/>
        <item m="1" x="15"/>
        <item m="1" x="17"/>
        <item m="1" x="12"/>
        <item m="1" x="9"/>
        <item m="1" x="7"/>
        <item m="1" x="19"/>
        <item m="1" x="23"/>
        <item m="1" x="10"/>
        <item m="1" x="5"/>
        <item m="1" x="16"/>
        <item m="1" x="22"/>
        <item t="default"/>
      </items>
    </pivotField>
    <pivotField dataField="1" showAll="0"/>
    <pivotField dataField="1" showAll="0"/>
    <pivotField dataField="1" dragToRow="0" dragToCol="0" dragToPage="0" showAll="0" defaultSubtotal="0"/>
  </pivotFields>
  <rowFields count="1">
    <field x="0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тоимость за ед" fld="1" subtotal="average" baseField="0" baseItem="0" numFmtId="43"/>
    <dataField name="Количество " fld="2" baseField="0" baseItem="0"/>
    <dataField name="Общая стоимость по объекту" fld="3" baseField="0" baseItem="0" numFmtId="43"/>
  </dataFields>
  <formats count="3">
    <format dxfId="4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Регистрация 2012 год.accdb_1" connectionId="1" autoFormatId="16" applyNumberFormats="0" applyBorderFormats="0" applyFontFormats="0" applyPatternFormats="0" applyAlignmentFormats="0" applyWidthHeightFormats="0">
  <queryTableRefresh nextId="10">
    <queryTableFields count="9">
      <queryTableField id="1" name="Код" tableColumnId="1"/>
      <queryTableField id="2" name="ТТ" tableColumnId="2"/>
      <queryTableField id="3" name="Цена" tableColumnId="3"/>
      <queryTableField id="4" name="Дата" tableColumnId="4"/>
      <queryTableField id="5" name="код1с" tableColumnId="5"/>
      <queryTableField id="6" name="код2с" tableColumnId="6"/>
      <queryTableField id="7" name="код3с" tableColumnId="7"/>
      <queryTableField id="8" name="код4с" tableColumnId="8"/>
      <queryTableField id="9" name="категория" tableColumnId="9"/>
    </queryTableFields>
  </queryTableRefresh>
</queryTable>
</file>

<file path=xl/queryTables/queryTable2.xml><?xml version="1.0" encoding="utf-8"?>
<queryTable xmlns="http://schemas.openxmlformats.org/spreadsheetml/2006/main" name="Регистрация 2012 год.accdb" connectionId="2" autoFormatId="16" applyNumberFormats="0" applyBorderFormats="0" applyFontFormats="0" applyPatternFormats="0" applyAlignmentFormats="0" applyWidthHeightFormats="0">
  <queryTableRefresh nextId="11">
    <queryTableFields count="10">
      <queryTableField id="1" name="Код" tableColumnId="1"/>
      <queryTableField id="2" name="РВЗ" tableColumnId="2"/>
      <queryTableField id="3" name="Цена" tableColumnId="3"/>
      <queryTableField id="4" name="Дата" tableColumnId="4"/>
      <queryTableField id="5" name="Основание" tableColumnId="5"/>
      <queryTableField id="6" name="код1с" tableColumnId="6"/>
      <queryTableField id="7" name="код2с" tableColumnId="7"/>
      <queryTableField id="8" name="код3с" tableColumnId="8"/>
      <queryTableField id="9" name="код4с" tableColumnId="9"/>
      <queryTableField id="10" name="категория" tableColumnId="10"/>
    </queryTableFields>
  </queryTableRefresh>
</queryTable>
</file>

<file path=xl/queryTables/queryTable3.xml><?xml version="1.0" encoding="utf-8"?>
<queryTable xmlns="http://schemas.openxmlformats.org/spreadsheetml/2006/main" name="Регистрация 2012 год.accdb_2" connectionId="9" autoFormatId="16" applyNumberFormats="0" applyBorderFormats="0" applyFontFormats="0" applyPatternFormats="0" applyAlignmentFormats="0" applyWidthHeightFormats="0">
  <queryTableRefresh nextId="10">
    <queryTableFields count="9">
      <queryTableField id="1" name="Код" tableColumnId="1"/>
      <queryTableField id="2" name="ТТНП" tableColumnId="2"/>
      <queryTableField id="3" name="Поле1" tableColumnId="3"/>
      <queryTableField id="4" name="Дата" tableColumnId="4"/>
      <queryTableField id="5" name="код1с" tableColumnId="5"/>
      <queryTableField id="6" name="код2с" tableColumnId="6"/>
      <queryTableField id="7" name="код3с" tableColumnId="7"/>
      <queryTableField id="8" name="код4с" tableColumnId="8"/>
      <queryTableField id="9" name="категория" tableColumnId="9"/>
    </queryTableFields>
  </queryTableRefresh>
</queryTable>
</file>

<file path=xl/queryTables/queryTable4.xml><?xml version="1.0" encoding="utf-8"?>
<queryTable xmlns="http://schemas.openxmlformats.org/spreadsheetml/2006/main" name="Регистрация 2012 год.accdb_3" connectionId="10" autoFormatId="16" applyNumberFormats="0" applyBorderFormats="0" applyFontFormats="0" applyPatternFormats="0" applyAlignmentFormats="0" applyWidthHeightFormats="0">
  <queryTableRefresh nextId="10">
    <queryTableFields count="9">
      <queryTableField id="1" name="Код" tableColumnId="1"/>
      <queryTableField id="2" name="ТН" tableColumnId="2"/>
      <queryTableField id="3" name="цена" tableColumnId="3"/>
      <queryTableField id="4" name="Дата" tableColumnId="4"/>
      <queryTableField id="5" name="код1с" tableColumnId="5"/>
      <queryTableField id="6" name="код2с" tableColumnId="6"/>
      <queryTableField id="7" name="код3с" tableColumnId="7"/>
      <queryTableField id="8" name="код4с" tableColumnId="8"/>
      <queryTableField id="9" name="категория" tableColumnId="9"/>
    </queryTableFields>
  </queryTableRefresh>
</queryTable>
</file>

<file path=xl/queryTables/queryTable5.xml><?xml version="1.0" encoding="utf-8"?>
<queryTable xmlns="http://schemas.openxmlformats.org/spreadsheetml/2006/main" name="Регистрация 2012 год.accdb_4" connectionId="11" autoFormatId="16" applyNumberFormats="0" applyBorderFormats="0" applyFontFormats="0" applyPatternFormats="0" applyAlignmentFormats="0" applyWidthHeightFormats="0">
  <queryTableRefresh nextId="6">
    <queryTableFields count="5">
      <queryTableField id="1" name="Код" tableColumnId="1"/>
      <queryTableField id="2" name="ОПН" tableColumnId="2"/>
      <queryTableField id="3" name="Цена" tableColumnId="3"/>
      <queryTableField id="4" name="Дата" tableColumnId="4"/>
      <queryTableField id="5" name="Основание" tableColumnId="5"/>
    </queryTableFields>
  </queryTableRefresh>
</queryTable>
</file>

<file path=xl/queryTables/queryTable6.xml><?xml version="1.0" encoding="utf-8"?>
<queryTable xmlns="http://schemas.openxmlformats.org/spreadsheetml/2006/main" name="Регистрация 2012 год.accdb_5" connectionId="12" autoFormatId="16" applyNumberFormats="0" applyBorderFormats="0" applyFontFormats="0" applyPatternFormats="0" applyAlignmentFormats="0" applyWidthHeightFormats="0">
  <queryTableRefresh nextId="6">
    <queryTableFields count="5">
      <queryTableField id="1" name="Код" tableColumnId="1"/>
      <queryTableField id="2" name="МПЗ" tableColumnId="2"/>
      <queryTableField id="3" name="Цена" tableColumnId="3"/>
      <queryTableField id="4" name="Дата" tableColumnId="4"/>
      <queryTableField id="5" name="Основание" tableColumnId="5"/>
    </queryTableFields>
  </queryTableRefresh>
</queryTable>
</file>

<file path=xl/queryTables/queryTable7.xml><?xml version="1.0" encoding="utf-8"?>
<queryTable xmlns="http://schemas.openxmlformats.org/spreadsheetml/2006/main" name="Регистрация 2012 год.accdb_6" connectionId="13" autoFormatId="16" applyNumberFormats="0" applyBorderFormats="0" applyFontFormats="0" applyPatternFormats="0" applyAlignmentFormats="0" applyWidthHeightFormats="0">
  <queryTableRefresh nextId="5">
    <queryTableFields count="4">
      <queryTableField id="1" name="Код" tableColumnId="1"/>
      <queryTableField id="2" name="БУ" tableColumnId="2"/>
      <queryTableField id="3" name="цена" tableColumnId="3"/>
      <queryTableField id="4" name="дата" tableColumnId="4"/>
    </queryTableFields>
  </queryTableRefresh>
</queryTable>
</file>

<file path=xl/queryTables/queryTable8.xml><?xml version="1.0" encoding="utf-8"?>
<queryTable xmlns="http://schemas.openxmlformats.org/spreadsheetml/2006/main" name="Регистрация 2012 год.accdb_7" connectionId="14" autoFormatId="16" applyNumberFormats="0" applyBorderFormats="0" applyFontFormats="0" applyPatternFormats="0" applyAlignmentFormats="0" applyWidthHeightFormats="0">
  <queryTableRefresh nextId="10">
    <queryTableFields count="9">
      <queryTableField id="1" name="Код" tableColumnId="1"/>
      <queryTableField id="2" name="ТСН" tableColumnId="2"/>
      <queryTableField id="3" name="Цена" tableColumnId="3"/>
      <queryTableField id="4" name="Дата" tableColumnId="4"/>
      <queryTableField id="5" name="код1с" tableColumnId="5"/>
      <queryTableField id="6" name="код2с" tableColumnId="6"/>
      <queryTableField id="7" name="код3с" tableColumnId="7"/>
      <queryTableField id="8" name="код4с" tableColumnId="8"/>
      <queryTableField id="9" name="категория" tableColumnId="9"/>
    </queryTableFields>
  </queryTableRefresh>
</queryTable>
</file>

<file path=xl/queryTables/queryTable9.xml><?xml version="1.0" encoding="utf-8"?>
<queryTable xmlns="http://schemas.openxmlformats.org/spreadsheetml/2006/main" name="Регистрация 2012 год.accdb_8" connectionId="15" autoFormatId="16" applyNumberFormats="0" applyBorderFormats="0" applyFontFormats="0" applyPatternFormats="0" applyAlignmentFormats="0" applyWidthHeightFormats="0">
  <queryTableRefresh nextId="10">
    <queryTableFields count="9">
      <queryTableField id="1" name="Код" tableColumnId="1"/>
      <queryTableField id="2" name="ТН" tableColumnId="2"/>
      <queryTableField id="3" name="цена" tableColumnId="3"/>
      <queryTableField id="4" name="Дата" tableColumnId="4"/>
      <queryTableField id="5" name="код1с" tableColumnId="5"/>
      <queryTableField id="6" name="код2с" tableColumnId="6"/>
      <queryTableField id="7" name="код3с" tableColumnId="7"/>
      <queryTableField id="8" name="код4с" tableColumnId="8"/>
      <queryTableField id="9" name="категория" tableColumnId="9"/>
    </queryTableFields>
  </queryTableRefresh>
</queryTable>
</file>

<file path=xl/queryTables/queryTable10.xml><?xml version="1.0" encoding="utf-8"?>
<queryTable xmlns="http://schemas.openxmlformats.org/spreadsheetml/2006/main" name="Регистрация 2012 год.accdb_10" connectionId="3" autoFormatId="16" applyNumberFormats="0" applyBorderFormats="0" applyFontFormats="0" applyPatternFormats="0" applyAlignmentFormats="0" applyWidthHeightFormats="0">
  <queryTableRefresh nextId="6">
    <queryTableFields count="5">
      <queryTableField id="1" name="Код" tableColumnId="1"/>
      <queryTableField id="2" name="Выкл" tableColumnId="2"/>
      <queryTableField id="3" name="цена" tableColumnId="3"/>
      <queryTableField id="4" name="дата" tableColumnId="4"/>
      <queryTableField id="5" name="место применения" tableColumnId="5"/>
    </queryTableFields>
  </queryTableRefresh>
</queryTable>
</file>

<file path=xl/queryTables/queryTable11.xml><?xml version="1.0" encoding="utf-8"?>
<queryTable xmlns="http://schemas.openxmlformats.org/spreadsheetml/2006/main" name="Регистрация 2012 год.accdb_11" connectionId="4" autoFormatId="16" applyNumberFormats="0" applyBorderFormats="0" applyFontFormats="0" applyPatternFormats="0" applyAlignmentFormats="0" applyWidthHeightFormats="0">
  <queryTableRefresh nextId="11">
    <queryTableFields count="10">
      <queryTableField id="1" name="Код" tableColumnId="1"/>
      <queryTableField id="2" name="Доп" tableColumnId="2"/>
      <queryTableField id="3" name="Цена" tableColumnId="3"/>
      <queryTableField id="4" name="Дата" tableColumnId="4"/>
      <queryTableField id="5" name="Основание" tableColumnId="5"/>
      <queryTableField id="6" name="код1с" tableColumnId="6"/>
      <queryTableField id="7" name="код2с" tableColumnId="7"/>
      <queryTableField id="8" name="код3с" tableColumnId="8"/>
      <queryTableField id="9" name="код4с" tableColumnId="9"/>
      <queryTableField id="10" name="категория" tableColumnId="10"/>
    </queryTableFields>
  </queryTableRefresh>
</queryTable>
</file>

<file path=xl/queryTables/queryTable12.xml><?xml version="1.0" encoding="utf-8"?>
<queryTable xmlns="http://schemas.openxmlformats.org/spreadsheetml/2006/main" name="Регистрация 2012 год.accdb_12" connectionId="5" autoFormatId="16" applyNumberFormats="0" applyBorderFormats="0" applyFontFormats="0" applyPatternFormats="0" applyAlignmentFormats="0" applyWidthHeightFormats="0">
  <queryTableRefresh nextId="5">
    <queryTableFields count="4">
      <queryTableField id="1" name="Код" tableColumnId="1"/>
      <queryTableField id="2" name="Накладные" tableColumnId="2"/>
      <queryTableField id="3" name="Цена" tableColumnId="3"/>
      <queryTableField id="4" name="Дата" tableColumnId="4"/>
    </queryTableFields>
  </queryTableRefresh>
</queryTable>
</file>

<file path=xl/queryTables/queryTable13.xml><?xml version="1.0" encoding="utf-8"?>
<queryTable xmlns="http://schemas.openxmlformats.org/spreadsheetml/2006/main" name="Регистрация 2012 год.accdb_13" connectionId="16" autoFormatId="16" applyNumberFormats="0" applyBorderFormats="0" applyFontFormats="0" applyPatternFormats="0" applyAlignmentFormats="0" applyWidthHeightFormats="0">
  <queryTableRefresh nextId="6">
    <queryTableFields count="5">
      <queryTableField id="1" name="Код" tableColumnId="1"/>
      <queryTableField id="2" name="счетчик" tableColumnId="2"/>
      <queryTableField id="3" name="ном ток" tableColumnId="3"/>
      <queryTableField id="4" name="цена" tableColumnId="4"/>
      <queryTableField id="5" name="дата" tableColumnId="5"/>
    </queryTableFields>
  </queryTableRefresh>
</queryTable>
</file>

<file path=xl/queryTables/queryTable14.xml><?xml version="1.0" encoding="utf-8"?>
<queryTable xmlns="http://schemas.openxmlformats.org/spreadsheetml/2006/main" name="Регистрация 2012 год.accdb_14" connectionId="6" autoFormatId="16" applyNumberFormats="0" applyBorderFormats="0" applyFontFormats="0" applyPatternFormats="0" applyAlignmentFormats="0" applyWidthHeightFormats="0">
  <queryTableRefresh nextId="7">
    <queryTableFields count="6">
      <queryTableField id="1" name="Код" tableColumnId="1"/>
      <queryTableField id="2" name="ПТ" tableColumnId="2"/>
      <queryTableField id="3" name="Прайс код" tableColumnId="3"/>
      <queryTableField id="4" name="Ном ток" tableColumnId="4"/>
      <queryTableField id="5" name="цена" tableColumnId="5"/>
      <queryTableField id="6" name="дата" tableColumnId="6"/>
    </queryTableFields>
  </queryTableRefresh>
</queryTable>
</file>

<file path=xl/queryTables/queryTable15.xml><?xml version="1.0" encoding="utf-8"?>
<queryTable xmlns="http://schemas.openxmlformats.org/spreadsheetml/2006/main" name="Регистрация 2012 год.accdb_15" refreshOnLoad="1" connectionId="7" autoFormatId="16" applyNumberFormats="0" applyBorderFormats="0" applyFontFormats="0" applyPatternFormats="0" applyAlignmentFormats="0" applyWidthHeightFormats="0">
  <queryTableRefresh nextId="20">
    <queryTableFields count="19">
      <queryTableField id="1" name="Код" tableColumnId="1"/>
      <queryTableField id="2" name="КодСхема" tableColumnId="2"/>
      <queryTableField id="3" name="ТИП" tableColumnId="3"/>
      <queryTableField id="4" name="Схема" tableColumnId="4"/>
      <queryTableField id="5" name="Назначение" tableColumnId="5"/>
      <queryTableField id="6" name="ШР" tableColumnId="6"/>
      <queryTableField id="7" name="Вакуумник" tableColumnId="7"/>
      <queryTableField id="8" name="БУ" tableColumnId="8"/>
      <queryTableField id="9" name="МПЗ" tableColumnId="9"/>
      <queryTableField id="10" name="колТТ" tableColumnId="10"/>
      <queryTableField id="11" name="ТТ" tableColumnId="11"/>
      <queryTableField id="12" name="ЛР" tableColumnId="12"/>
      <queryTableField id="13" name="Счетчик" tableColumnId="13"/>
      <queryTableField id="14" name="ТН" tableColumnId="14"/>
      <queryTableField id="15" name="ТСН" tableColumnId="15"/>
      <queryTableField id="16" name="ПТ" tableColumnId="16"/>
      <queryTableField id="17" name="ОПН" tableColumnId="17"/>
      <queryTableField id="18" name="ТТНП" tableColumnId="18"/>
      <queryTableField id="19" name="ШСН" tableColumnId="19"/>
    </queryTableFields>
  </queryTableRefresh>
</queryTable>
</file>

<file path=xl/queryTables/queryTable16.xml><?xml version="1.0" encoding="utf-8"?>
<queryTable xmlns="http://schemas.openxmlformats.org/spreadsheetml/2006/main" name="Регистрация 2012 год.accdb_16" connectionId="8" autoFormatId="16" applyNumberFormats="0" applyBorderFormats="0" applyFontFormats="0" applyPatternFormats="0" applyAlignmentFormats="0" applyWidthHeightFormats="0">
  <queryTableRefresh nextId="5">
    <queryTableFields count="4">
      <queryTableField id="1" name="Код" tableColumnId="1"/>
      <queryTableField id="2" name="Имя" tableColumnId="2"/>
      <queryTableField id="3" name="Цена" tableColumnId="3"/>
      <queryTableField id="4" name="Дата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id="1" name="Таблица_Регистрация_2012_год.accdb_1" displayName="Таблица_Регистрация_2012_год.accdb_1" ref="A2:I122" tableType="queryTable" totalsRowShown="0" headerRowDxfId="149" headerRowBorderDxfId="148" tableBorderDxfId="147" totalsRowBorderDxfId="146">
  <autoFilter ref="A2:I122"/>
  <tableColumns count="9">
    <tableColumn id="1" uniqueName="1" name="Код" queryTableFieldId="1" dataDxfId="145"/>
    <tableColumn id="2" uniqueName="2" name="ТТ" queryTableFieldId="2" dataDxfId="144"/>
    <tableColumn id="3" uniqueName="3" name="Цена" queryTableFieldId="3" dataDxfId="143"/>
    <tableColumn id="4" uniqueName="4" name="Дата" queryTableFieldId="4" dataDxfId="142"/>
    <tableColumn id="5" uniqueName="5" name="код1с" queryTableFieldId="5" dataDxfId="141"/>
    <tableColumn id="6" uniqueName="6" name="код2с" queryTableFieldId="6" dataDxfId="140"/>
    <tableColumn id="7" uniqueName="7" name="код3с" queryTableFieldId="7" dataDxfId="139"/>
    <tableColumn id="8" uniqueName="8" name="код4с" queryTableFieldId="8" dataDxfId="138"/>
    <tableColumn id="9" uniqueName="9" name="категория" queryTableFieldId="9" dataDxfId="13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Таблица_Регистрация_2012_год.accdb" displayName="Таблица_Регистрация_2012_год.accdb" ref="K2:T20" tableType="queryTable" totalsRowShown="0" headerRowDxfId="136" headerRowBorderDxfId="135" tableBorderDxfId="134" totalsRowBorderDxfId="133">
  <autoFilter ref="K2:T20"/>
  <tableColumns count="10">
    <tableColumn id="1" uniqueName="1" name="Код" queryTableFieldId="1" dataDxfId="132"/>
    <tableColumn id="2" uniqueName="2" name="РВЗ" queryTableFieldId="2" dataDxfId="131"/>
    <tableColumn id="3" uniqueName="3" name="Цена" queryTableFieldId="3" dataDxfId="130" dataCellStyle="Денежный"/>
    <tableColumn id="4" uniqueName="4" name="Дата" queryTableFieldId="4" dataDxfId="129"/>
    <tableColumn id="5" uniqueName="5" name="Основание" queryTableFieldId="5" dataDxfId="128"/>
    <tableColumn id="6" uniqueName="6" name="код1с" queryTableFieldId="6" dataDxfId="127"/>
    <tableColumn id="7" uniqueName="7" name="код2с" queryTableFieldId="7" dataDxfId="126"/>
    <tableColumn id="8" uniqueName="8" name="код3с" queryTableFieldId="8" dataDxfId="125"/>
    <tableColumn id="9" uniqueName="9" name="код4с" queryTableFieldId="9" dataDxfId="124"/>
    <tableColumn id="10" uniqueName="10" name="категория" queryTableFieldId="10" dataDxfId="12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Таблица_Регистрация_2012_год.accdb_2" displayName="Таблица_Регистрация_2012_год.accdb_2" ref="V2:AD18" tableType="queryTable" totalsRowShown="0" headerRowDxfId="122">
  <autoFilter ref="V2:AD18"/>
  <tableColumns count="9">
    <tableColumn id="1" uniqueName="1" name="Код" queryTableFieldId="1" dataDxfId="121"/>
    <tableColumn id="2" uniqueName="2" name="ТТНП" queryTableFieldId="2" dataDxfId="120"/>
    <tableColumn id="3" uniqueName="3" name="Поле1" queryTableFieldId="3" dataDxfId="119" dataCellStyle="Денежный"/>
    <tableColumn id="4" uniqueName="4" name="Дата" queryTableFieldId="4" dataDxfId="118"/>
    <tableColumn id="5" uniqueName="5" name="код1с" queryTableFieldId="5" dataDxfId="117"/>
    <tableColumn id="6" uniqueName="6" name="код2с" queryTableFieldId="6" dataDxfId="116"/>
    <tableColumn id="7" uniqueName="7" name="код3с" queryTableFieldId="7" dataDxfId="115"/>
    <tableColumn id="8" uniqueName="8" name="код4с" queryTableFieldId="8" dataDxfId="114"/>
    <tableColumn id="9" uniqueName="9" name="категория" queryTableFieldId="9" dataDxfId="11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Таблица_Регистрация_2012_год.accdb_3" displayName="Таблица_Регистрация_2012_год.accdb_3" ref="AF2:AN21" tableType="queryTable" totalsRowShown="0" headerRowDxfId="112">
  <autoFilter ref="AF2:AN21"/>
  <tableColumns count="9">
    <tableColumn id="1" uniqueName="1" name="Код" queryTableFieldId="1" dataDxfId="111"/>
    <tableColumn id="2" uniqueName="2" name="ТН" queryTableFieldId="2" dataDxfId="110"/>
    <tableColumn id="3" uniqueName="3" name="цена" queryTableFieldId="3" dataDxfId="109" dataCellStyle="Денежный"/>
    <tableColumn id="4" uniqueName="4" name="Дата" queryTableFieldId="4" dataDxfId="108"/>
    <tableColumn id="5" uniqueName="5" name="код1с" queryTableFieldId="5" dataDxfId="107"/>
    <tableColumn id="6" uniqueName="6" name="код2с" queryTableFieldId="6" dataDxfId="106"/>
    <tableColumn id="7" uniqueName="7" name="код3с" queryTableFieldId="7" dataDxfId="105"/>
    <tableColumn id="8" uniqueName="8" name="код4с" queryTableFieldId="8" dataDxfId="104"/>
    <tableColumn id="9" uniqueName="9" name="категория" queryTableFieldId="9" dataDxfId="10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Таблица_Регистрация_2012_год.accdb_4" displayName="Таблица_Регистрация_2012_год.accdb_4" ref="AP2:AT19" tableType="queryTable" totalsRowShown="0" headerRowDxfId="102">
  <autoFilter ref="AP2:AT19"/>
  <tableColumns count="5">
    <tableColumn id="1" uniqueName="1" name="Код" queryTableFieldId="1" dataDxfId="101"/>
    <tableColumn id="2" uniqueName="2" name="ОПН" queryTableFieldId="2" dataDxfId="100"/>
    <tableColumn id="3" uniqueName="3" name="Цена" queryTableFieldId="3" dataDxfId="99" dataCellStyle="Денежный"/>
    <tableColumn id="4" uniqueName="4" name="Дата" queryTableFieldId="4" dataDxfId="98"/>
    <tableColumn id="5" uniqueName="5" name="Основание" queryTableFieldId="5" dataDxfId="9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Таблица_Регистрация_2012_год.accdb_5" displayName="Таблица_Регистрация_2012_год.accdb_5" ref="AV2:AZ108" tableType="queryTable" totalsRowShown="0" headerRowDxfId="96">
  <autoFilter ref="AV2:AZ108"/>
  <sortState ref="AV3:AZ108">
    <sortCondition ref="AW3"/>
  </sortState>
  <tableColumns count="5">
    <tableColumn id="1" uniqueName="1" name="Код" queryTableFieldId="1" dataDxfId="95"/>
    <tableColumn id="2" uniqueName="2" name="МПЗ" queryTableFieldId="2" dataDxfId="94"/>
    <tableColumn id="3" uniqueName="3" name="Цена" queryTableFieldId="3" dataDxfId="93" dataCellStyle="Денежный"/>
    <tableColumn id="4" uniqueName="4" name="Дата" queryTableFieldId="4" dataDxfId="92"/>
    <tableColumn id="5" uniqueName="5" name="Основание" queryTableFieldId="5" dataDxfId="9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Таблица_Регистрация_2012_год.accdb_6" displayName="Таблица_Регистрация_2012_год.accdb_6" ref="BB2:BE7" tableType="queryTable" totalsRowShown="0" headerRowDxfId="90">
  <autoFilter ref="BB2:BE7"/>
  <tableColumns count="4">
    <tableColumn id="1" uniqueName="1" name="Код" queryTableFieldId="1" dataDxfId="89"/>
    <tableColumn id="2" uniqueName="2" name="БУ" queryTableFieldId="2" dataDxfId="88"/>
    <tableColumn id="3" uniqueName="3" name="цена" queryTableFieldId="3" dataDxfId="87"/>
    <tableColumn id="4" uniqueName="4" name="дата" queryTableFieldId="4" dataDxfId="86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Таблица_Регистрация_2012_год.accdb_7" displayName="Таблица_Регистрация_2012_год.accdb_7" ref="BG2:BO15" tableType="queryTable" totalsRowShown="0" headerRowDxfId="85">
  <autoFilter ref="BG2:BO15"/>
  <sortState ref="BG3:BO15">
    <sortCondition ref="BH3"/>
  </sortState>
  <tableColumns count="9">
    <tableColumn id="1" uniqueName="1" name="Код" queryTableFieldId="1" dataDxfId="84"/>
    <tableColumn id="2" uniqueName="2" name="ТСН" queryTableFieldId="2" dataDxfId="83"/>
    <tableColumn id="3" uniqueName="3" name="Цена" queryTableFieldId="3" dataDxfId="82"/>
    <tableColumn id="4" uniqueName="4" name="Дата" queryTableFieldId="4" dataDxfId="81"/>
    <tableColumn id="5" uniqueName="5" name="код1с" queryTableFieldId="5" dataDxfId="80"/>
    <tableColumn id="6" uniqueName="6" name="код2с" queryTableFieldId="6" dataDxfId="79"/>
    <tableColumn id="7" uniqueName="7" name="код3с" queryTableFieldId="7" dataDxfId="78"/>
    <tableColumn id="8" uniqueName="8" name="код4с" queryTableFieldId="8" dataDxfId="77"/>
    <tableColumn id="9" uniqueName="9" name="категория" queryTableFieldId="9" dataDxfId="7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Таблица_Регистрация_2012_год.accdb_8" displayName="Таблица_Регистрация_2012_год.accdb_8" ref="BQ2:BY21" tableType="queryTable" totalsRowShown="0">
  <autoFilter ref="BQ2:BY21"/>
  <tableColumns count="9">
    <tableColumn id="1" uniqueName="1" name="Код" queryTableFieldId="1" dataDxfId="75"/>
    <tableColumn id="2" uniqueName="2" name="ТН" queryTableFieldId="2" dataDxfId="74"/>
    <tableColumn id="3" uniqueName="3" name="цена" queryTableFieldId="3" dataDxfId="73" dataCellStyle="Денежный"/>
    <tableColumn id="4" uniqueName="4" name="Дата" queryTableFieldId="4" dataDxfId="72"/>
    <tableColumn id="5" uniqueName="5" name="код1с" queryTableFieldId="5" dataDxfId="71"/>
    <tableColumn id="6" uniqueName="6" name="код2с" queryTableFieldId="6" dataDxfId="70"/>
    <tableColumn id="7" uniqueName="7" name="код3с" queryTableFieldId="7" dataDxfId="69"/>
    <tableColumn id="8" uniqueName="8" name="код4с" queryTableFieldId="8" dataDxfId="68"/>
    <tableColumn id="9" uniqueName="9" name="категория" queryTableFieldId="9" dataDxfId="67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1" name="Таблица_Регистрация_2012_год.accdb_10" displayName="Таблица_Регистрация_2012_год.accdb_10" ref="CA2:CE50" tableType="queryTable" totalsRowShown="0">
  <autoFilter ref="CA2:CE50"/>
  <tableColumns count="5">
    <tableColumn id="1" uniqueName="1" name="Код" queryTableFieldId="1" dataDxfId="66"/>
    <tableColumn id="2" uniqueName="2" name="Выкл" queryTableFieldId="2" dataDxfId="65"/>
    <tableColumn id="3" uniqueName="3" name="цена" queryTableFieldId="3" dataDxfId="64"/>
    <tableColumn id="4" uniqueName="4" name="дата" queryTableFieldId="4" dataDxfId="63"/>
    <tableColumn id="5" uniqueName="5" name="место применения" queryTableFieldId="5" dataDxfId="62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2" name="Таблица_Регистрация_2012_год.accdb_11" displayName="Таблица_Регистрация_2012_год.accdb_11" ref="CG2:CP106" tableType="queryTable" totalsRowShown="0">
  <autoFilter ref="CG2:CP106"/>
  <sortState ref="CG3:CP106">
    <sortCondition ref="CH3"/>
  </sortState>
  <tableColumns count="10">
    <tableColumn id="1" uniqueName="1" name="Код" queryTableFieldId="1" dataDxfId="61"/>
    <tableColumn id="2" uniqueName="2" name="Доп" queryTableFieldId="2" dataDxfId="60"/>
    <tableColumn id="3" uniqueName="3" name="Цена" queryTableFieldId="3" dataDxfId="59"/>
    <tableColumn id="4" uniqueName="4" name="Дата" queryTableFieldId="4" dataDxfId="58"/>
    <tableColumn id="5" uniqueName="5" name="Основание" queryTableFieldId="5" dataDxfId="57"/>
    <tableColumn id="6" uniqueName="6" name="код1с" queryTableFieldId="6" dataDxfId="56"/>
    <tableColumn id="7" uniqueName="7" name="код2с" queryTableFieldId="7" dataDxfId="55"/>
    <tableColumn id="8" uniqueName="8" name="код3с" queryTableFieldId="8" dataDxfId="54"/>
    <tableColumn id="9" uniqueName="9" name="код4с" queryTableFieldId="9" dataDxfId="53"/>
    <tableColumn id="10" uniqueName="10" name="категория" queryTableFieldId="10" dataDxfId="52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4" name="Таблица_Регистрация_2012_год.accdb_12" displayName="Таблица_Регистрация_2012_год.accdb_12" ref="CR2:CU73" tableType="queryTable" totalsRowShown="0">
  <autoFilter ref="CR2:CU73"/>
  <tableColumns count="4">
    <tableColumn id="1" uniqueName="1" name="Код" queryTableFieldId="1"/>
    <tableColumn id="2" uniqueName="2" name="Накладные" queryTableFieldId="2"/>
    <tableColumn id="3" uniqueName="3" name="Цена" queryTableFieldId="3"/>
    <tableColumn id="4" uniqueName="4" name="Дата" queryTableFieldId="4" dataDxfId="51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6" name="Таблица_Регистрация_2012_год.accdb_13" displayName="Таблица_Регистрация_2012_год.accdb_13" ref="CW2:DA75" tableType="queryTable" totalsRowShown="0">
  <autoFilter ref="CW2:DA75"/>
  <sortState ref="CW3:DA75">
    <sortCondition ref="CX3"/>
  </sortState>
  <tableColumns count="5">
    <tableColumn id="1" uniqueName="1" name="Код" queryTableFieldId="1"/>
    <tableColumn id="2" uniqueName="2" name="счетчик" queryTableFieldId="2"/>
    <tableColumn id="3" uniqueName="3" name="ном ток" queryTableFieldId="3"/>
    <tableColumn id="4" uniqueName="4" name="цена" queryTableFieldId="4"/>
    <tableColumn id="5" uniqueName="5" name="дата" queryTableFieldId="5" dataDxfId="50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298" name="Таблица_Регистрация_2012_год.accdb_14" displayName="Таблица_Регистрация_2012_год.accdb_14" ref="DE2:DJ4" tableType="queryTable" totalsRowShown="0">
  <autoFilter ref="DE2:DJ4"/>
  <tableColumns count="6">
    <tableColumn id="1" uniqueName="1" name="Код" queryTableFieldId="1"/>
    <tableColumn id="2" uniqueName="2" name="ПТ" queryTableFieldId="2"/>
    <tableColumn id="3" uniqueName="3" name="Прайс код" queryTableFieldId="3"/>
    <tableColumn id="4" uniqueName="4" name="Ном ток" queryTableFieldId="4" dataDxfId="49"/>
    <tableColumn id="5" uniqueName="5" name="цена" queryTableFieldId="5"/>
    <tableColumn id="6" uniqueName="6" name="дата" queryTableFieldId="6" dataDxfId="48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0" name="Таблица_Регистрация_2012_год.accdb_15" displayName="Таблица_Регистрация_2012_год.accdb_15" ref="DL2:ED33" tableType="queryTable" totalsRowShown="0">
  <autoFilter ref="DL2:ED33"/>
  <tableColumns count="19">
    <tableColumn id="1" uniqueName="1" name="Код" queryTableFieldId="1"/>
    <tableColumn id="2" uniqueName="2" name="КодСхема" queryTableFieldId="2"/>
    <tableColumn id="3" uniqueName="3" name="ТИП" queryTableFieldId="3"/>
    <tableColumn id="4" uniqueName="4" name="Схема" queryTableFieldId="4"/>
    <tableColumn id="5" uniqueName="5" name="Назначение" queryTableFieldId="5"/>
    <tableColumn id="6" uniqueName="6" name="ШР" queryTableFieldId="6"/>
    <tableColumn id="7" uniqueName="7" name="Вакуумник" queryTableFieldId="7"/>
    <tableColumn id="8" uniqueName="8" name="БУ" queryTableFieldId="8"/>
    <tableColumn id="9" uniqueName="9" name="МПЗ" queryTableFieldId="9"/>
    <tableColumn id="10" uniqueName="10" name="колТТ" queryTableFieldId="10"/>
    <tableColumn id="11" uniqueName="11" name="ТТ" queryTableFieldId="11"/>
    <tableColumn id="12" uniqueName="12" name="ЛР" queryTableFieldId="12"/>
    <tableColumn id="13" uniqueName="13" name="Счетчик" queryTableFieldId="13"/>
    <tableColumn id="14" uniqueName="14" name="ТН" queryTableFieldId="14"/>
    <tableColumn id="15" uniqueName="15" name="ТСН" queryTableFieldId="15"/>
    <tableColumn id="16" uniqueName="16" name="ПТ" queryTableFieldId="16"/>
    <tableColumn id="17" uniqueName="17" name="ОПН" queryTableFieldId="17"/>
    <tableColumn id="18" uniqueName="18" name="ТТНП" queryTableFieldId="18"/>
    <tableColumn id="19" uniqueName="19" name="ШСН" queryTableFieldId="19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5" name="Таблица_Регистрация_2012_год.accdb_16" displayName="Таблица_Регистрация_2012_год.accdb_16" ref="EF2:EI6" tableType="queryTable" totalsRowShown="0">
  <autoFilter ref="EF2:EI6"/>
  <tableColumns count="4">
    <tableColumn id="1" uniqueName="1" name="Код" queryTableFieldId="1"/>
    <tableColumn id="2" uniqueName="2" name="Имя" queryTableFieldId="2"/>
    <tableColumn id="3" uniqueName="3" name="Цена" queryTableFieldId="3"/>
    <tableColumn id="4" uniqueName="4" name="Дата" queryTableFieldId="4" dataDxfId="47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9" name="Таблица19" displayName="Таблица19" ref="A1:C2" totalsRowShown="0">
  <autoFilter ref="A1:C2"/>
  <tableColumns count="3">
    <tableColumn id="1" name="Оборудование"/>
    <tableColumn id="2" name="Стоимость"/>
    <tableColumn id="3" name="Количество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3" name="Таблица13" displayName="Таблица13" ref="B1:U29" totalsRowCount="1" headerRowDxfId="43" headerRowBorderDxfId="42" tableBorderDxfId="41" totalsRowBorderDxfId="40">
  <tableColumns count="20">
    <tableColumn id="1" name="оборудование" totalsRowFunction="custom" dataDxfId="39" totalsRowDxfId="19">
      <calculatedColumnFormula>IF('КСО-204'!D17="","",'КСО-204'!D17)</calculatedColumnFormula>
      <totalsRowFormula>IF('КСО-204'!D15="","",'КСО-204'!D15)</totalsRowFormula>
    </tableColumn>
    <tableColumn id="2" name="стоимость" totalsRowLabel="7ВВ" dataDxfId="38" totalsRowDxfId="18"/>
    <tableColumn id="3" name="оборудование2" totalsRowFunction="custom" dataDxfId="37" totalsRowDxfId="17">
      <calculatedColumnFormula>IF('КСО-204'!E17="","",'КСО-204'!E17)</calculatedColumnFormula>
      <totalsRowFormula>IF('КСО-204'!E15="","",'КСО-204'!E15)</totalsRowFormula>
    </tableColumn>
    <tableColumn id="4" name="стоимость3" totalsRowLabel="7ВВ" dataDxfId="21" totalsRowDxfId="16"/>
    <tableColumn id="5" name="оборудование4" totalsRowFunction="custom" dataDxfId="36" totalsRowDxfId="15">
      <calculatedColumnFormula>IF('КСО-204'!F17="","",'КСО-204'!F17)</calculatedColumnFormula>
      <totalsRowFormula>IF('КСО-204'!F15="","",'КСО-204'!F15)</totalsRowFormula>
    </tableColumn>
    <tableColumn id="6" name="стоимость5" totalsRowLabel="7ВВ" dataDxfId="20" totalsRowDxfId="14"/>
    <tableColumn id="7" name="оборудование6" totalsRowFunction="custom" dataDxfId="35" totalsRowDxfId="13">
      <calculatedColumnFormula>IF('КСО-204'!G17="","",'КСО-204'!G17)</calculatedColumnFormula>
      <totalsRowFormula>IF('КСО-204'!G15="","",'КСО-204'!G15)</totalsRowFormula>
    </tableColumn>
    <tableColumn id="8" name="стоимость7" totalsRowLabel="15-400" dataDxfId="34" totalsRowDxfId="12"/>
    <tableColumn id="9" name="оборудование8" totalsRowFunction="custom" dataDxfId="33" totalsRowDxfId="11">
      <calculatedColumnFormula>IF('КСО-204'!H17="","",'КСО-204'!H17)</calculatedColumnFormula>
      <totalsRowFormula>IF('КСО-204'!H15="","",'КСО-204'!H15)</totalsRowFormula>
    </tableColumn>
    <tableColumn id="10" name="стоимость9" totalsRowLabel="13-400" dataDxfId="32" totalsRowDxfId="10"/>
    <tableColumn id="11" name="оборудование10" totalsRowFunction="custom" dataDxfId="31" totalsRowDxfId="9">
      <calculatedColumnFormula>IF('КСО-204'!I17="","",'КСО-204'!I17)</calculatedColumnFormula>
      <totalsRowFormula>IF('КСО-204'!I15="","",'КСО-204'!I15)</totalsRowFormula>
    </tableColumn>
    <tableColumn id="12" name="стоимость11" totalsRowLabel="3ВВ" dataDxfId="30" totalsRowDxfId="8"/>
    <tableColumn id="13" name="оборудование12" totalsRowFunction="custom" dataDxfId="29" totalsRowDxfId="7">
      <calculatedColumnFormula>IF('КСО-204'!J17="","",'КСО-204'!J17)</calculatedColumnFormula>
      <totalsRowFormula>IF('КСО-204'!J15="","",'КСО-204'!J15)</totalsRowFormula>
    </tableColumn>
    <tableColumn id="14" name="стоимость13" totalsRowLabel="24-1000" dataDxfId="28" totalsRowDxfId="6"/>
    <tableColumn id="15" name="оборудование14" totalsRowFunction="custom" dataDxfId="27" totalsRowDxfId="5">
      <calculatedColumnFormula>IF('КСО-204'!K17="","",'КСО-204'!K17)</calculatedColumnFormula>
      <totalsRowFormula>IF('КСО-204'!K15="","",'КСО-204'!K15)</totalsRowFormula>
    </tableColumn>
    <tableColumn id="16" name="стоимость15" totalsRowFunction="custom" dataDxfId="26" totalsRowDxfId="4">
      <totalsRowFormula>VLOOKUP(AE39,$B$59:$C$107,2,FALSE)</totalsRowFormula>
    </tableColumn>
    <tableColumn id="17" name="оборудование16" totalsRowFunction="custom" dataDxfId="25" totalsRowDxfId="3">
      <calculatedColumnFormula>IF('КСО-204'!L17="","",'КСО-204'!L17)</calculatedColumnFormula>
      <totalsRowFormula>IF('КСО-204'!L15="","",'КСО-204'!L15)</totalsRowFormula>
    </tableColumn>
    <tableColumn id="18" name="стоимость17" totalsRowFunction="custom" dataDxfId="24" totalsRowDxfId="2">
      <totalsRowFormula>VLOOKUP(AF39,$B$59:$C$107,2,FALSE)</totalsRowFormula>
    </tableColumn>
    <tableColumn id="19" name="оборудование18" totalsRowFunction="custom" dataDxfId="23" totalsRowDxfId="1">
      <calculatedColumnFormula>IF('КСО-204'!M17="","",'КСО-204'!M17)</calculatedColumnFormula>
      <totalsRowFormula>IF('КСО-204'!M15="","",'КСО-204'!M15)</totalsRowFormula>
    </tableColumn>
    <tableColumn id="20" name="стоимость19" totalsRowFunction="custom" dataDxfId="22" totalsRowDxfId="0">
      <totalsRowFormula>VLOOKUP(AG39,$B$59:$C$107,2,FALSE)</totalsRow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" Type="http://schemas.openxmlformats.org/officeDocument/2006/relationships/vmlDrawing" Target="../drawings/vmlDrawing1.vml"/><Relationship Id="rId16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10" Type="http://schemas.openxmlformats.org/officeDocument/2006/relationships/table" Target="../tables/table8.xml"/><Relationship Id="rId19" Type="http://schemas.openxmlformats.org/officeDocument/2006/relationships/comments" Target="../comments1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M78"/>
  <sheetViews>
    <sheetView view="pageBreakPreview" topLeftCell="A9" zoomScale="85" zoomScaleNormal="55" zoomScaleSheetLayoutView="85" workbookViewId="0">
      <selection activeCell="K11" sqref="K11:K14"/>
    </sheetView>
  </sheetViews>
  <sheetFormatPr defaultRowHeight="12.75"/>
  <cols>
    <col min="1" max="1" width="5.140625" style="10" customWidth="1"/>
    <col min="2" max="2" width="37.42578125" style="10" customWidth="1"/>
    <col min="3" max="3" width="11.5703125" style="10" customWidth="1"/>
    <col min="4" max="4" width="35.140625" style="10" customWidth="1"/>
    <col min="5" max="13" width="21.42578125" style="10" customWidth="1"/>
    <col min="14" max="16384" width="9.140625" style="10"/>
  </cols>
  <sheetData>
    <row r="1" spans="1:13" ht="27.75" thickBot="1">
      <c r="B1" s="59" t="str">
        <f>"      Опросный лист на "&amp; IF(C7&gt;0, C7,"КСО-204, КСО-204м")</f>
        <v xml:space="preserve">      Опросный лист на КСО-204</v>
      </c>
      <c r="C1" s="60"/>
      <c r="D1" s="60"/>
      <c r="E1" s="60"/>
      <c r="F1" s="60"/>
      <c r="H1" s="61" t="s">
        <v>32</v>
      </c>
      <c r="I1" s="18"/>
      <c r="K1" s="167"/>
      <c r="L1" s="167"/>
      <c r="M1" s="19"/>
    </row>
    <row r="2" spans="1:13" ht="19.5" thickBot="1">
      <c r="B2" s="62" t="s">
        <v>33</v>
      </c>
      <c r="D2" s="169"/>
      <c r="E2" s="170"/>
      <c r="F2" s="170"/>
      <c r="G2" s="170"/>
      <c r="H2" s="170"/>
      <c r="I2" s="170"/>
      <c r="J2" s="170"/>
      <c r="K2" s="184" t="s">
        <v>31</v>
      </c>
      <c r="L2" s="184"/>
      <c r="M2" s="63"/>
    </row>
    <row r="3" spans="1:13" ht="19.5" thickBot="1">
      <c r="A3" s="64"/>
      <c r="B3" s="62"/>
      <c r="C3" s="64"/>
      <c r="D3" s="170"/>
      <c r="E3" s="170"/>
      <c r="F3" s="170"/>
      <c r="G3" s="170"/>
      <c r="H3" s="170"/>
      <c r="I3" s="170"/>
      <c r="M3" s="20"/>
    </row>
    <row r="4" spans="1:13">
      <c r="A4" s="64"/>
      <c r="B4" s="65"/>
      <c r="C4" s="64"/>
      <c r="D4" s="173" t="s">
        <v>34</v>
      </c>
      <c r="E4" s="173"/>
      <c r="F4" s="173"/>
      <c r="G4" s="173"/>
      <c r="H4" s="173"/>
      <c r="I4" s="173"/>
      <c r="M4" s="66"/>
    </row>
    <row r="5" spans="1:13" ht="19.5" thickBot="1">
      <c r="A5" s="64"/>
      <c r="B5" s="65"/>
      <c r="C5" s="64"/>
      <c r="D5" s="21"/>
      <c r="E5" s="21"/>
      <c r="F5" s="21"/>
      <c r="G5" s="21"/>
      <c r="H5" s="67"/>
      <c r="I5" s="21"/>
      <c r="K5" s="185"/>
      <c r="L5" s="186"/>
    </row>
    <row r="6" spans="1:13" ht="13.5" thickBot="1">
      <c r="A6" s="64"/>
      <c r="B6" s="65"/>
      <c r="C6" s="64"/>
      <c r="D6" s="68" t="s">
        <v>35</v>
      </c>
      <c r="E6" s="68"/>
      <c r="F6" s="68" t="s">
        <v>36</v>
      </c>
      <c r="H6" s="69"/>
      <c r="I6" s="70" t="s">
        <v>37</v>
      </c>
      <c r="J6" s="71"/>
      <c r="K6" s="173" t="s">
        <v>38</v>
      </c>
      <c r="L6" s="173"/>
    </row>
    <row r="7" spans="1:13" ht="16.5" thickBot="1">
      <c r="A7" s="72">
        <v>1</v>
      </c>
      <c r="B7" s="73" t="s">
        <v>39</v>
      </c>
      <c r="C7" s="22" t="s">
        <v>122</v>
      </c>
    </row>
    <row r="8" spans="1:13" ht="15">
      <c r="A8" s="174" t="s">
        <v>40</v>
      </c>
      <c r="B8" s="175"/>
      <c r="C8" s="175"/>
      <c r="D8" s="176" t="s">
        <v>41</v>
      </c>
      <c r="E8" s="177"/>
      <c r="F8" s="177"/>
      <c r="G8" s="177"/>
      <c r="H8" s="177"/>
      <c r="I8" s="177"/>
      <c r="J8" s="177"/>
      <c r="K8" s="177"/>
      <c r="L8" s="177"/>
      <c r="M8" s="178"/>
    </row>
    <row r="9" spans="1:13" ht="15.75">
      <c r="A9" s="74">
        <v>2</v>
      </c>
      <c r="B9" s="179" t="s">
        <v>42</v>
      </c>
      <c r="C9" s="180"/>
      <c r="D9" s="58"/>
      <c r="E9" s="58"/>
      <c r="F9" s="58"/>
      <c r="G9" s="58"/>
      <c r="H9" s="58"/>
      <c r="I9" s="58"/>
      <c r="J9" s="58"/>
      <c r="K9" s="58"/>
      <c r="L9" s="58"/>
      <c r="M9" s="58"/>
    </row>
    <row r="10" spans="1:13" ht="15.75">
      <c r="A10" s="74">
        <v>3</v>
      </c>
      <c r="B10" s="179" t="s">
        <v>43</v>
      </c>
      <c r="C10" s="180"/>
      <c r="D10" s="23"/>
      <c r="E10" s="23"/>
      <c r="F10" s="23"/>
      <c r="G10" s="23"/>
      <c r="H10" s="23"/>
      <c r="I10" s="23"/>
      <c r="J10" s="23"/>
      <c r="K10" s="23"/>
      <c r="L10" s="23"/>
      <c r="M10" s="23"/>
    </row>
    <row r="11" spans="1:13" ht="15.75">
      <c r="A11" s="75">
        <v>4</v>
      </c>
      <c r="B11" s="76" t="s">
        <v>44</v>
      </c>
      <c r="C11" s="24">
        <v>10</v>
      </c>
      <c r="D11" s="181"/>
      <c r="E11" s="168"/>
      <c r="F11" s="168"/>
      <c r="G11" s="168"/>
      <c r="H11" s="168"/>
      <c r="I11" s="168"/>
      <c r="J11" s="168"/>
      <c r="K11" s="168"/>
      <c r="L11" s="168"/>
      <c r="M11" s="168"/>
    </row>
    <row r="12" spans="1:13" ht="15.75">
      <c r="A12" s="74">
        <v>5</v>
      </c>
      <c r="B12" s="77" t="s">
        <v>45</v>
      </c>
      <c r="C12" s="25">
        <v>630</v>
      </c>
      <c r="D12" s="182"/>
      <c r="E12" s="168"/>
      <c r="F12" s="168"/>
      <c r="G12" s="168"/>
      <c r="H12" s="168"/>
      <c r="I12" s="168"/>
      <c r="J12" s="168"/>
      <c r="K12" s="168"/>
      <c r="L12" s="168"/>
      <c r="M12" s="168"/>
    </row>
    <row r="13" spans="1:13" ht="15.75">
      <c r="A13" s="74">
        <v>6</v>
      </c>
      <c r="B13" s="77" t="s">
        <v>46</v>
      </c>
      <c r="C13" s="26"/>
      <c r="D13" s="182"/>
      <c r="E13" s="168"/>
      <c r="F13" s="168"/>
      <c r="G13" s="168"/>
      <c r="H13" s="168"/>
      <c r="I13" s="168"/>
      <c r="J13" s="168"/>
      <c r="K13" s="168"/>
      <c r="L13" s="168"/>
      <c r="M13" s="168"/>
    </row>
    <row r="14" spans="1:13" ht="257.25" customHeight="1">
      <c r="A14" s="74">
        <v>7</v>
      </c>
      <c r="B14" s="171" t="s">
        <v>47</v>
      </c>
      <c r="C14" s="172"/>
      <c r="D14" s="183"/>
      <c r="E14" s="168"/>
      <c r="F14" s="168"/>
      <c r="G14" s="168"/>
      <c r="H14" s="168"/>
      <c r="I14" s="168"/>
      <c r="J14" s="168"/>
      <c r="K14" s="168"/>
      <c r="L14" s="168"/>
      <c r="M14" s="168"/>
    </row>
    <row r="15" spans="1:13" ht="15.75">
      <c r="A15" s="74">
        <v>8</v>
      </c>
      <c r="B15" s="179" t="s">
        <v>48</v>
      </c>
      <c r="C15" s="180"/>
      <c r="D15" s="78"/>
      <c r="E15" s="78"/>
      <c r="F15" s="78"/>
      <c r="G15" s="78"/>
      <c r="H15" s="78"/>
      <c r="I15" s="78"/>
      <c r="J15" s="78"/>
      <c r="K15" s="78"/>
      <c r="L15" s="78"/>
      <c r="M15" s="78"/>
    </row>
    <row r="16" spans="1:13" ht="15.75">
      <c r="A16" s="74">
        <v>9</v>
      </c>
      <c r="B16" s="164" t="s">
        <v>49</v>
      </c>
      <c r="C16" s="165"/>
      <c r="D16" s="82" t="str">
        <f>IF(D15&lt;&gt;"",расчет!C29,"")</f>
        <v>7ВВ</v>
      </c>
      <c r="E16" s="82" t="str">
        <f>IF(E15&lt;&gt;"",расчет!E29,"")</f>
        <v>7ВВ</v>
      </c>
      <c r="F16" s="82" t="str">
        <f>IF(F15&lt;&gt;"",расчет!G29,"")</f>
        <v>7ВВ</v>
      </c>
      <c r="G16" s="82" t="str">
        <f>IF(G15&lt;&gt;"",расчет!I29,"")</f>
        <v>15-400</v>
      </c>
      <c r="H16" s="82" t="str">
        <f>IF(H15&lt;&gt;"",расчет!K29,"")</f>
        <v>13-400</v>
      </c>
      <c r="I16" s="82" t="str">
        <f>IF(I15&lt;&gt;"",расчет!M29,"")</f>
        <v>3ВВ</v>
      </c>
      <c r="J16" s="82" t="str">
        <f>IF(J15&lt;&gt;"",расчет!O29,"")</f>
        <v>24-1000</v>
      </c>
      <c r="K16" s="82" t="str">
        <f>IF(K15&lt;&gt;"",расчет!Q29,"")</f>
        <v/>
      </c>
      <c r="L16" s="82" t="str">
        <f>IF(L15&lt;&gt;"",расчет!S29,"")</f>
        <v/>
      </c>
      <c r="M16" s="82" t="str">
        <f>IF(M15&lt;&gt;"",расчет!U29,"")</f>
        <v/>
      </c>
    </row>
    <row r="17" spans="1:13" ht="15.75">
      <c r="A17" s="79">
        <v>10</v>
      </c>
      <c r="B17" s="164" t="s">
        <v>70</v>
      </c>
      <c r="C17" s="165"/>
      <c r="D17" s="112"/>
      <c r="E17" s="112"/>
      <c r="F17" s="112"/>
      <c r="G17" s="112"/>
      <c r="H17" s="112"/>
      <c r="I17" s="112"/>
      <c r="J17" s="112"/>
      <c r="K17" s="112"/>
      <c r="L17" s="112"/>
      <c r="M17" s="112"/>
    </row>
    <row r="18" spans="1:13" ht="15.75">
      <c r="A18" s="153">
        <v>11</v>
      </c>
      <c r="B18" s="151" t="s">
        <v>50</v>
      </c>
      <c r="C18" s="92" t="s">
        <v>2</v>
      </c>
      <c r="D18" s="111"/>
      <c r="E18" s="111"/>
      <c r="F18" s="111"/>
      <c r="G18" s="111"/>
      <c r="H18" s="111"/>
      <c r="I18" s="111"/>
      <c r="J18" s="111"/>
      <c r="K18" s="111"/>
      <c r="L18" s="111"/>
      <c r="M18" s="111"/>
    </row>
    <row r="19" spans="1:13" ht="47.25">
      <c r="A19" s="189"/>
      <c r="B19" s="190"/>
      <c r="C19" s="92" t="s">
        <v>30</v>
      </c>
      <c r="D19" s="111"/>
      <c r="E19" s="111"/>
      <c r="F19" s="111"/>
      <c r="G19" s="111"/>
      <c r="H19" s="111"/>
      <c r="I19" s="111"/>
      <c r="J19" s="111"/>
      <c r="K19" s="111"/>
      <c r="L19" s="111"/>
      <c r="M19" s="111"/>
    </row>
    <row r="20" spans="1:13" ht="15.75">
      <c r="A20" s="79">
        <v>12</v>
      </c>
      <c r="B20" s="80" t="s">
        <v>62</v>
      </c>
      <c r="C20" s="92" t="s">
        <v>2</v>
      </c>
      <c r="D20" s="111"/>
      <c r="E20" s="111"/>
      <c r="F20" s="111"/>
      <c r="G20" s="111"/>
      <c r="H20" s="111"/>
      <c r="I20" s="111"/>
      <c r="J20" s="111"/>
      <c r="K20" s="111"/>
      <c r="L20" s="111"/>
      <c r="M20" s="111"/>
    </row>
    <row r="21" spans="1:13" ht="15.75">
      <c r="A21" s="153">
        <v>13</v>
      </c>
      <c r="B21" s="187" t="s">
        <v>51</v>
      </c>
      <c r="C21" s="93" t="s">
        <v>1</v>
      </c>
      <c r="D21" s="111"/>
      <c r="E21" s="111"/>
      <c r="F21" s="111"/>
      <c r="G21" s="111"/>
      <c r="H21" s="111"/>
      <c r="I21" s="111"/>
      <c r="J21" s="111"/>
      <c r="K21" s="111"/>
      <c r="L21" s="111"/>
      <c r="M21" s="111"/>
    </row>
    <row r="22" spans="1:13" ht="33" customHeight="1">
      <c r="A22" s="154"/>
      <c r="B22" s="188"/>
      <c r="C22" s="93" t="s">
        <v>52</v>
      </c>
      <c r="D22" s="111"/>
      <c r="E22" s="111"/>
      <c r="F22" s="111"/>
      <c r="G22" s="111"/>
      <c r="H22" s="111"/>
      <c r="I22" s="111"/>
      <c r="J22" s="111"/>
      <c r="K22" s="111"/>
      <c r="L22" s="111"/>
      <c r="M22" s="111"/>
    </row>
    <row r="23" spans="1:13" ht="15.75">
      <c r="A23" s="79">
        <v>14</v>
      </c>
      <c r="B23" s="164" t="s">
        <v>71</v>
      </c>
      <c r="C23" s="165"/>
      <c r="D23" s="112"/>
      <c r="E23" s="112"/>
      <c r="F23" s="112"/>
      <c r="G23" s="112"/>
      <c r="H23" s="112"/>
      <c r="I23" s="112"/>
      <c r="J23" s="112"/>
      <c r="K23" s="112"/>
      <c r="L23" s="112"/>
      <c r="M23" s="112"/>
    </row>
    <row r="24" spans="1:13" ht="47.25">
      <c r="A24" s="79">
        <v>14</v>
      </c>
      <c r="B24" s="164" t="s">
        <v>61</v>
      </c>
      <c r="C24" s="165"/>
      <c r="D24" s="111"/>
      <c r="E24" s="111"/>
      <c r="F24" s="111"/>
      <c r="G24" s="111"/>
      <c r="H24" s="111"/>
      <c r="I24" s="111"/>
      <c r="J24" s="111"/>
      <c r="K24" s="111"/>
      <c r="L24" s="111"/>
      <c r="M24" s="111"/>
    </row>
    <row r="25" spans="1:13" ht="15.75">
      <c r="A25" s="79">
        <v>14</v>
      </c>
      <c r="B25" s="164" t="s">
        <v>54</v>
      </c>
      <c r="C25" s="165"/>
      <c r="D25" s="111"/>
      <c r="E25" s="111"/>
      <c r="F25" s="111"/>
      <c r="G25" s="111"/>
      <c r="H25" s="111"/>
      <c r="I25" s="111"/>
      <c r="J25" s="111"/>
      <c r="K25" s="111"/>
      <c r="L25" s="111"/>
      <c r="M25" s="111"/>
    </row>
    <row r="26" spans="1:13" ht="15.75">
      <c r="A26" s="79">
        <v>15</v>
      </c>
      <c r="B26" s="164" t="s">
        <v>55</v>
      </c>
      <c r="C26" s="165"/>
      <c r="D26" s="111"/>
      <c r="E26" s="111"/>
      <c r="F26" s="111"/>
      <c r="G26" s="111"/>
      <c r="H26" s="111"/>
      <c r="I26" s="111"/>
      <c r="J26" s="111"/>
      <c r="K26" s="111"/>
      <c r="L26" s="111"/>
      <c r="M26" s="111"/>
    </row>
    <row r="27" spans="1:13" ht="15.75">
      <c r="A27" s="79">
        <v>16</v>
      </c>
      <c r="B27" s="164" t="s">
        <v>56</v>
      </c>
      <c r="C27" s="165"/>
      <c r="D27" s="111"/>
      <c r="E27" s="111"/>
      <c r="F27" s="111"/>
      <c r="G27" s="111"/>
      <c r="H27" s="111"/>
      <c r="I27" s="111"/>
      <c r="J27" s="111"/>
      <c r="K27" s="111"/>
      <c r="L27" s="111"/>
      <c r="M27" s="111"/>
    </row>
    <row r="28" spans="1:13" ht="15.75">
      <c r="A28" s="79">
        <v>17</v>
      </c>
      <c r="B28" s="164" t="s">
        <v>57</v>
      </c>
      <c r="C28" s="165"/>
      <c r="D28" s="111"/>
      <c r="E28" s="111"/>
      <c r="F28" s="111"/>
      <c r="G28" s="111"/>
      <c r="H28" s="111"/>
      <c r="I28" s="111"/>
      <c r="J28" s="111"/>
      <c r="K28" s="111"/>
      <c r="L28" s="111"/>
      <c r="M28" s="111"/>
    </row>
    <row r="29" spans="1:13" ht="15.75">
      <c r="A29" s="153">
        <v>18</v>
      </c>
      <c r="B29" s="151" t="s">
        <v>58</v>
      </c>
      <c r="C29" s="92" t="s">
        <v>59</v>
      </c>
      <c r="D29" s="111"/>
      <c r="E29" s="111"/>
      <c r="F29" s="111"/>
      <c r="G29" s="111"/>
      <c r="H29" s="111"/>
      <c r="I29" s="111"/>
      <c r="J29" s="111"/>
      <c r="K29" s="111"/>
      <c r="L29" s="111"/>
      <c r="M29" s="111"/>
    </row>
    <row r="30" spans="1:13" ht="15.75">
      <c r="A30" s="166"/>
      <c r="B30" s="152"/>
      <c r="C30" s="92" t="s">
        <v>60</v>
      </c>
      <c r="D30" s="111"/>
      <c r="E30" s="111"/>
      <c r="F30" s="111"/>
      <c r="G30" s="111"/>
      <c r="H30" s="111"/>
      <c r="I30" s="111"/>
      <c r="J30" s="111"/>
      <c r="K30" s="111"/>
      <c r="L30" s="111"/>
      <c r="M30" s="111"/>
    </row>
    <row r="31" spans="1:13" ht="15.75">
      <c r="A31" s="75">
        <v>19</v>
      </c>
      <c r="B31" s="164" t="s">
        <v>53</v>
      </c>
      <c r="C31" s="165"/>
      <c r="D31" s="111"/>
      <c r="E31" s="111"/>
      <c r="F31" s="111"/>
      <c r="G31" s="111"/>
      <c r="H31" s="111"/>
      <c r="I31" s="111"/>
      <c r="J31" s="111"/>
      <c r="K31" s="111"/>
      <c r="L31" s="111"/>
      <c r="M31" s="111"/>
    </row>
    <row r="32" spans="1:13" ht="15.75">
      <c r="A32" s="153">
        <v>20</v>
      </c>
      <c r="B32" s="151" t="s">
        <v>69</v>
      </c>
      <c r="C32" s="92" t="s">
        <v>1</v>
      </c>
      <c r="D32" s="111"/>
      <c r="E32" s="111"/>
      <c r="F32" s="111"/>
      <c r="G32" s="111"/>
      <c r="H32" s="111"/>
      <c r="I32" s="111"/>
      <c r="J32" s="111"/>
      <c r="K32" s="111"/>
      <c r="L32" s="111"/>
      <c r="M32" s="111"/>
    </row>
    <row r="33" spans="1:13" ht="15.75" customHeight="1">
      <c r="A33" s="154"/>
      <c r="B33" s="152"/>
      <c r="C33" s="92" t="s">
        <v>76</v>
      </c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1:13" ht="15.75">
      <c r="A34" s="153">
        <v>21</v>
      </c>
      <c r="B34" s="151" t="s">
        <v>69</v>
      </c>
      <c r="C34" s="92" t="s">
        <v>1</v>
      </c>
      <c r="D34" s="111"/>
      <c r="E34" s="111"/>
      <c r="F34" s="111"/>
      <c r="G34" s="111"/>
      <c r="H34" s="111"/>
      <c r="I34" s="111"/>
      <c r="J34" s="111"/>
      <c r="K34" s="111"/>
      <c r="L34" s="111"/>
      <c r="M34" s="111"/>
    </row>
    <row r="35" spans="1:13" ht="15.75" customHeight="1">
      <c r="A35" s="154"/>
      <c r="B35" s="152"/>
      <c r="C35" s="92" t="s">
        <v>76</v>
      </c>
      <c r="D35" s="111"/>
      <c r="E35" s="111"/>
      <c r="F35" s="111"/>
      <c r="G35" s="111"/>
      <c r="H35" s="111"/>
      <c r="I35" s="111"/>
      <c r="J35" s="111"/>
      <c r="K35" s="111"/>
      <c r="L35" s="111"/>
      <c r="M35" s="111"/>
    </row>
    <row r="36" spans="1:13" ht="15.75">
      <c r="A36" s="153">
        <v>22</v>
      </c>
      <c r="B36" s="151" t="s">
        <v>69</v>
      </c>
      <c r="C36" s="92" t="s">
        <v>1</v>
      </c>
      <c r="D36" s="111"/>
      <c r="E36" s="111"/>
      <c r="F36" s="111"/>
      <c r="G36" s="111"/>
      <c r="H36" s="111"/>
      <c r="I36" s="111"/>
      <c r="J36" s="111"/>
      <c r="K36" s="111"/>
      <c r="L36" s="111"/>
      <c r="M36" s="111"/>
    </row>
    <row r="37" spans="1:13" ht="15.75" customHeight="1">
      <c r="A37" s="154"/>
      <c r="B37" s="152"/>
      <c r="C37" s="92" t="s">
        <v>76</v>
      </c>
      <c r="D37" s="111"/>
      <c r="E37" s="111"/>
      <c r="F37" s="111"/>
      <c r="G37" s="111"/>
      <c r="H37" s="111"/>
      <c r="I37" s="111"/>
      <c r="J37" s="111"/>
      <c r="K37" s="111"/>
      <c r="L37" s="111"/>
      <c r="M37" s="111"/>
    </row>
    <row r="38" spans="1:13" ht="15.75">
      <c r="A38" s="153">
        <v>23</v>
      </c>
      <c r="B38" s="151" t="s">
        <v>69</v>
      </c>
      <c r="C38" s="92" t="s">
        <v>1</v>
      </c>
      <c r="D38" s="111"/>
      <c r="E38" s="111"/>
      <c r="F38" s="111"/>
      <c r="G38" s="111"/>
      <c r="H38" s="111"/>
      <c r="I38" s="111"/>
      <c r="J38" s="111"/>
      <c r="K38" s="111"/>
      <c r="L38" s="111"/>
      <c r="M38" s="111"/>
    </row>
    <row r="39" spans="1:13" ht="15.75" customHeight="1">
      <c r="A39" s="154"/>
      <c r="B39" s="152"/>
      <c r="C39" s="92" t="s">
        <v>76</v>
      </c>
      <c r="D39" s="111"/>
      <c r="E39" s="111"/>
      <c r="F39" s="111"/>
      <c r="G39" s="111"/>
      <c r="H39" s="111"/>
      <c r="I39" s="111"/>
      <c r="J39" s="111"/>
      <c r="K39" s="111"/>
      <c r="L39" s="111"/>
      <c r="M39" s="111"/>
    </row>
    <row r="40" spans="1:13" ht="15.75">
      <c r="A40" s="153">
        <v>24</v>
      </c>
      <c r="B40" s="151" t="s">
        <v>69</v>
      </c>
      <c r="C40" s="92" t="s">
        <v>1</v>
      </c>
      <c r="D40" s="111"/>
      <c r="E40" s="111"/>
      <c r="F40" s="111"/>
      <c r="G40" s="111"/>
      <c r="H40" s="111"/>
      <c r="I40" s="111"/>
      <c r="J40" s="111"/>
      <c r="K40" s="111"/>
      <c r="L40" s="111"/>
      <c r="M40" s="111"/>
    </row>
    <row r="41" spans="1:13" ht="15.75" customHeight="1">
      <c r="A41" s="154"/>
      <c r="B41" s="152"/>
      <c r="C41" s="92" t="s">
        <v>76</v>
      </c>
      <c r="D41" s="111"/>
      <c r="E41" s="111"/>
      <c r="F41" s="111"/>
      <c r="G41" s="111"/>
      <c r="H41" s="111"/>
      <c r="I41" s="111"/>
      <c r="J41" s="111"/>
      <c r="K41" s="111"/>
      <c r="L41" s="111"/>
      <c r="M41" s="111"/>
    </row>
    <row r="42" spans="1:13" ht="15.75">
      <c r="A42" s="153">
        <v>25</v>
      </c>
      <c r="B42" s="151" t="s">
        <v>69</v>
      </c>
      <c r="C42" s="92" t="s">
        <v>1</v>
      </c>
      <c r="D42" s="111"/>
      <c r="E42" s="111"/>
      <c r="F42" s="111"/>
      <c r="G42" s="111"/>
      <c r="H42" s="111"/>
      <c r="I42" s="111"/>
      <c r="J42" s="111"/>
      <c r="K42" s="111"/>
      <c r="L42" s="111"/>
      <c r="M42" s="111"/>
    </row>
    <row r="43" spans="1:13" ht="15.75" customHeight="1">
      <c r="A43" s="154"/>
      <c r="B43" s="152"/>
      <c r="C43" s="92" t="s">
        <v>76</v>
      </c>
      <c r="D43" s="111"/>
      <c r="E43" s="111"/>
      <c r="F43" s="111"/>
      <c r="G43" s="111"/>
      <c r="H43" s="111"/>
      <c r="I43" s="111"/>
      <c r="J43" s="111"/>
      <c r="K43" s="111"/>
      <c r="L43" s="111"/>
      <c r="M43" s="111"/>
    </row>
    <row r="44" spans="1:13" ht="15.75">
      <c r="A44" s="153">
        <v>23</v>
      </c>
      <c r="B44" s="151" t="s">
        <v>63</v>
      </c>
      <c r="C44" s="92" t="s">
        <v>2</v>
      </c>
      <c r="D44" s="58"/>
      <c r="E44" s="143"/>
      <c r="F44" s="58"/>
      <c r="G44" s="58"/>
      <c r="H44" s="58"/>
      <c r="I44" s="58"/>
      <c r="J44" s="58"/>
      <c r="K44" s="58"/>
      <c r="L44" s="143"/>
      <c r="M44" s="58"/>
    </row>
    <row r="45" spans="1:13" ht="15.75">
      <c r="A45" s="154"/>
      <c r="B45" s="152"/>
      <c r="C45" s="92" t="s">
        <v>1</v>
      </c>
      <c r="D45" s="58"/>
      <c r="E45" s="58"/>
      <c r="F45" s="58"/>
      <c r="G45" s="58"/>
      <c r="H45" s="58"/>
      <c r="I45" s="58"/>
      <c r="J45" s="58"/>
      <c r="K45" s="58"/>
      <c r="L45" s="58"/>
      <c r="M45" s="58"/>
    </row>
    <row r="46" spans="1:13" ht="19.5">
      <c r="A46" s="27"/>
      <c r="B46" s="81" t="s">
        <v>64</v>
      </c>
      <c r="C46" s="158" t="s">
        <v>65</v>
      </c>
      <c r="D46" s="158"/>
      <c r="E46" s="158"/>
      <c r="F46" s="158"/>
      <c r="G46" s="158"/>
      <c r="I46" s="159" t="s">
        <v>66</v>
      </c>
      <c r="J46" s="159"/>
      <c r="K46" s="159"/>
      <c r="L46" s="159"/>
      <c r="M46" s="159"/>
    </row>
    <row r="47" spans="1:13" ht="20.25">
      <c r="A47" s="27"/>
      <c r="C47" s="160"/>
      <c r="D47" s="160"/>
      <c r="E47" s="160"/>
      <c r="F47" s="160"/>
      <c r="G47" s="160"/>
      <c r="H47" s="27"/>
      <c r="I47" s="161"/>
      <c r="J47" s="161"/>
      <c r="K47" s="161"/>
      <c r="L47" s="161"/>
      <c r="M47" s="161"/>
    </row>
    <row r="48" spans="1:13" ht="20.25">
      <c r="A48" s="27"/>
      <c r="C48" s="162"/>
      <c r="D48" s="162"/>
      <c r="E48" s="162"/>
      <c r="F48" s="162"/>
      <c r="G48" s="162"/>
      <c r="H48" s="27"/>
      <c r="I48" s="163"/>
      <c r="J48" s="163"/>
      <c r="K48" s="163"/>
      <c r="L48" s="163"/>
      <c r="M48" s="163"/>
    </row>
    <row r="49" spans="1:13" ht="18.75">
      <c r="A49" s="27"/>
      <c r="C49" s="155" t="s">
        <v>67</v>
      </c>
      <c r="D49" s="155"/>
      <c r="E49" s="155"/>
      <c r="F49" s="155"/>
      <c r="G49" s="155"/>
      <c r="H49" s="27"/>
      <c r="I49" s="156" t="s">
        <v>67</v>
      </c>
      <c r="J49" s="156"/>
      <c r="K49" s="156"/>
      <c r="L49" s="156"/>
      <c r="M49" s="156"/>
    </row>
    <row r="50" spans="1:13" ht="15.75">
      <c r="A50" s="27"/>
      <c r="C50" s="157" t="s">
        <v>68</v>
      </c>
      <c r="D50" s="157"/>
      <c r="E50" s="157"/>
      <c r="F50" s="157"/>
      <c r="G50" s="157"/>
      <c r="H50" s="27"/>
      <c r="I50" s="157" t="s">
        <v>68</v>
      </c>
      <c r="J50" s="157"/>
      <c r="K50" s="157"/>
      <c r="L50" s="157"/>
      <c r="M50" s="157"/>
    </row>
    <row r="52" spans="1:13" hidden="1">
      <c r="D52" s="110">
        <f ca="1">расчет!AT31</f>
        <v>720</v>
      </c>
      <c r="E52" s="110">
        <f ca="1">расчет!AU31</f>
        <v>720</v>
      </c>
      <c r="F52" s="110">
        <f ca="1">расчет!AV31</f>
        <v>720</v>
      </c>
      <c r="G52" s="110">
        <f ca="1">расчет!AW31</f>
        <v>720</v>
      </c>
      <c r="H52" s="110">
        <f ca="1">расчет!AX31</f>
        <v>720</v>
      </c>
      <c r="I52" s="110">
        <f ca="1">расчет!AY31</f>
        <v>720</v>
      </c>
      <c r="J52" s="110">
        <f ca="1">расчет!AZ31</f>
        <v>720</v>
      </c>
      <c r="K52" s="110">
        <f ca="1">расчет!BA31</f>
        <v>0</v>
      </c>
      <c r="L52" s="110">
        <f ca="1">расчет!BB31</f>
        <v>0</v>
      </c>
      <c r="M52" s="110">
        <f ca="1">расчет!BC31</f>
        <v>0</v>
      </c>
    </row>
    <row r="53" spans="1:13" hidden="1">
      <c r="D53" s="110">
        <f ca="1">расчет!AT32</f>
        <v>750</v>
      </c>
      <c r="E53" s="110">
        <f ca="1">расчет!AU32</f>
        <v>750</v>
      </c>
      <c r="F53" s="110">
        <f ca="1">расчет!AV32</f>
        <v>750</v>
      </c>
      <c r="G53" s="110">
        <f ca="1">расчет!AW32</f>
        <v>0</v>
      </c>
      <c r="H53" s="110">
        <f ca="1">расчет!AX32</f>
        <v>0</v>
      </c>
      <c r="I53" s="110">
        <f ca="1">расчет!AY32</f>
        <v>750</v>
      </c>
      <c r="J53" s="110">
        <f ca="1">расчет!AZ32</f>
        <v>0</v>
      </c>
      <c r="K53" s="110">
        <f ca="1">расчет!BA32</f>
        <v>0</v>
      </c>
      <c r="L53" s="110">
        <f ca="1">расчет!BB32</f>
        <v>0</v>
      </c>
      <c r="M53" s="110">
        <f ca="1">расчет!BC32</f>
        <v>0</v>
      </c>
    </row>
    <row r="54" spans="1:13" hidden="1">
      <c r="D54" s="110">
        <f ca="1">расчет!AT33</f>
        <v>750</v>
      </c>
      <c r="E54" s="110">
        <f ca="1">расчет!AU33</f>
        <v>750</v>
      </c>
      <c r="F54" s="110">
        <f ca="1">расчет!AV33</f>
        <v>750</v>
      </c>
      <c r="G54" s="110">
        <f ca="1">расчет!AW33</f>
        <v>0</v>
      </c>
      <c r="H54" s="110">
        <f ca="1">расчет!AX33</f>
        <v>0</v>
      </c>
      <c r="I54" s="110">
        <f ca="1">расчет!AY33</f>
        <v>750</v>
      </c>
      <c r="J54" s="110">
        <f ca="1">расчет!AZ33</f>
        <v>0</v>
      </c>
      <c r="K54" s="110">
        <f ca="1">расчет!BA33</f>
        <v>0</v>
      </c>
      <c r="L54" s="110">
        <f ca="1">расчет!BB33</f>
        <v>0</v>
      </c>
      <c r="M54" s="110">
        <f ca="1">расчет!BC33</f>
        <v>0</v>
      </c>
    </row>
    <row r="55" spans="1:13" hidden="1">
      <c r="D55" s="110">
        <f ca="1">расчет!AT34</f>
        <v>373</v>
      </c>
      <c r="E55" s="110">
        <f ca="1">расчет!AU34</f>
        <v>373</v>
      </c>
      <c r="F55" s="110">
        <f ca="1">расчет!AV34</f>
        <v>373</v>
      </c>
      <c r="G55" s="110">
        <f ca="1">расчет!AW34</f>
        <v>0</v>
      </c>
      <c r="H55" s="110">
        <f ca="1">расчет!AX34</f>
        <v>373</v>
      </c>
      <c r="I55" s="110">
        <f ca="1">расчет!AY34</f>
        <v>373</v>
      </c>
      <c r="J55" s="110">
        <f ca="1">расчет!AZ34</f>
        <v>0</v>
      </c>
      <c r="K55" s="110">
        <f ca="1">расчет!BA34</f>
        <v>0</v>
      </c>
      <c r="L55" s="110">
        <f ca="1">расчет!BB34</f>
        <v>0</v>
      </c>
      <c r="M55" s="110">
        <f ca="1">расчет!BC34</f>
        <v>0</v>
      </c>
    </row>
    <row r="56" spans="1:13" hidden="1">
      <c r="D56" s="110">
        <f>расчет!AT35</f>
        <v>0</v>
      </c>
      <c r="E56" s="110">
        <f>расчет!AU35</f>
        <v>0</v>
      </c>
      <c r="F56" s="110">
        <f>расчет!AV35</f>
        <v>0</v>
      </c>
      <c r="G56" s="110">
        <f>расчет!AW35</f>
        <v>0</v>
      </c>
      <c r="H56" s="110">
        <f>расчет!AX35</f>
        <v>0</v>
      </c>
      <c r="I56" s="110">
        <f>расчет!AY35</f>
        <v>0</v>
      </c>
      <c r="J56" s="110">
        <f>расчет!AZ35</f>
        <v>0</v>
      </c>
      <c r="K56" s="110">
        <f>расчет!BA35</f>
        <v>0</v>
      </c>
      <c r="L56" s="110">
        <f>расчет!BB35</f>
        <v>0</v>
      </c>
      <c r="M56" s="110">
        <f>расчет!BC35</f>
        <v>0</v>
      </c>
    </row>
    <row r="57" spans="1:13" hidden="1">
      <c r="D57" s="110">
        <f ca="1">расчет!AT36</f>
        <v>436</v>
      </c>
      <c r="E57" s="110">
        <f ca="1">расчет!AU36</f>
        <v>436</v>
      </c>
      <c r="F57" s="110">
        <f ca="1">расчет!AV36</f>
        <v>436</v>
      </c>
      <c r="G57" s="110">
        <f ca="1">расчет!AW36</f>
        <v>0</v>
      </c>
      <c r="H57" s="110">
        <f ca="1">расчет!AX36</f>
        <v>0</v>
      </c>
      <c r="I57" s="110">
        <f ca="1">расчет!AY36</f>
        <v>436</v>
      </c>
      <c r="J57" s="110">
        <f ca="1">расчет!AZ36</f>
        <v>0</v>
      </c>
      <c r="K57" s="110">
        <f ca="1">расчет!BA36</f>
        <v>0</v>
      </c>
      <c r="L57" s="110">
        <f ca="1">расчет!BB36</f>
        <v>0</v>
      </c>
      <c r="M57" s="110">
        <f ca="1">расчет!BC36</f>
        <v>0</v>
      </c>
    </row>
    <row r="58" spans="1:13" hidden="1">
      <c r="D58" s="110">
        <f ca="1">расчет!AT37</f>
        <v>370</v>
      </c>
      <c r="E58" s="110">
        <f ca="1">расчет!AU37</f>
        <v>370</v>
      </c>
      <c r="F58" s="110">
        <f ca="1">расчет!AV37</f>
        <v>370</v>
      </c>
      <c r="G58" s="110">
        <f ca="1">расчет!AW37</f>
        <v>0</v>
      </c>
      <c r="H58" s="110">
        <f ca="1">расчет!AX37</f>
        <v>370</v>
      </c>
      <c r="I58" s="110">
        <f ca="1">расчет!AY37</f>
        <v>0</v>
      </c>
      <c r="J58" s="110">
        <f ca="1">расчет!AZ37</f>
        <v>0</v>
      </c>
      <c r="K58" s="110">
        <f ca="1">расчет!BA37</f>
        <v>0</v>
      </c>
      <c r="L58" s="110">
        <f ca="1">расчет!BB37</f>
        <v>0</v>
      </c>
      <c r="M58" s="110">
        <f ca="1">расчет!BC37</f>
        <v>0</v>
      </c>
    </row>
    <row r="59" spans="1:13" hidden="1">
      <c r="D59" s="110">
        <f ca="1">расчет!AT39</f>
        <v>644</v>
      </c>
      <c r="E59" s="110">
        <f ca="1">расчет!AU39</f>
        <v>644</v>
      </c>
      <c r="F59" s="110">
        <f ca="1">расчет!AV39</f>
        <v>644</v>
      </c>
      <c r="G59" s="110">
        <f ca="1">расчет!AW39</f>
        <v>0</v>
      </c>
      <c r="H59" s="110">
        <f ca="1">расчет!AX39</f>
        <v>0</v>
      </c>
      <c r="I59" s="110">
        <f ca="1">расчет!AY39</f>
        <v>0</v>
      </c>
      <c r="J59" s="110">
        <f ca="1">расчет!AZ39</f>
        <v>0</v>
      </c>
      <c r="K59" s="110">
        <f ca="1">расчет!BA39</f>
        <v>0</v>
      </c>
      <c r="L59" s="110">
        <f ca="1">расчет!BB39</f>
        <v>0</v>
      </c>
      <c r="M59" s="110">
        <f ca="1">расчет!BC39</f>
        <v>0</v>
      </c>
    </row>
    <row r="60" spans="1:13" hidden="1">
      <c r="D60" s="110">
        <f ca="1">расчет!AT40</f>
        <v>0</v>
      </c>
      <c r="E60" s="110">
        <f ca="1">расчет!AU40</f>
        <v>0</v>
      </c>
      <c r="F60" s="110">
        <f ca="1">расчет!AV40</f>
        <v>0</v>
      </c>
      <c r="G60" s="110">
        <f ca="1">расчет!AW40</f>
        <v>0</v>
      </c>
      <c r="H60" s="110">
        <f ca="1">расчет!AX40</f>
        <v>3975</v>
      </c>
      <c r="I60" s="110">
        <f ca="1">расчет!AY40</f>
        <v>0</v>
      </c>
      <c r="J60" s="110">
        <f ca="1">расчет!AZ40</f>
        <v>0</v>
      </c>
      <c r="K60" s="110">
        <f ca="1">расчет!BA40</f>
        <v>0</v>
      </c>
      <c r="L60" s="110">
        <f ca="1">расчет!BB40</f>
        <v>0</v>
      </c>
      <c r="M60" s="110">
        <f ca="1">расчет!BC40</f>
        <v>0</v>
      </c>
    </row>
    <row r="61" spans="1:13" hidden="1">
      <c r="D61" s="110">
        <f ca="1">расчет!AT41</f>
        <v>0</v>
      </c>
      <c r="E61" s="110">
        <f ca="1">расчет!AU41</f>
        <v>0</v>
      </c>
      <c r="F61" s="110">
        <f ca="1">расчет!AV41</f>
        <v>0</v>
      </c>
      <c r="G61" s="110">
        <f ca="1">расчет!AW41</f>
        <v>446</v>
      </c>
      <c r="H61" s="110">
        <f ca="1">расчет!AX41</f>
        <v>0</v>
      </c>
      <c r="I61" s="110">
        <f ca="1">расчет!AY41</f>
        <v>0</v>
      </c>
      <c r="J61" s="110">
        <f ca="1">расчет!AZ41</f>
        <v>0</v>
      </c>
      <c r="K61" s="110">
        <f ca="1">расчет!BA41</f>
        <v>0</v>
      </c>
      <c r="L61" s="110">
        <f ca="1">расчет!BB41</f>
        <v>0</v>
      </c>
      <c r="M61" s="110">
        <f ca="1">расчет!BC41</f>
        <v>0</v>
      </c>
    </row>
    <row r="62" spans="1:13" hidden="1">
      <c r="D62" s="110">
        <f ca="1">расчет!AT42</f>
        <v>0</v>
      </c>
      <c r="E62" s="110">
        <f ca="1">расчет!AU42</f>
        <v>0</v>
      </c>
      <c r="F62" s="110">
        <f ca="1">расчет!AV42</f>
        <v>0</v>
      </c>
      <c r="G62" s="110">
        <f ca="1">расчет!AW42</f>
        <v>1412</v>
      </c>
      <c r="H62" s="110">
        <f ca="1">расчет!AX42</f>
        <v>0</v>
      </c>
      <c r="I62" s="110">
        <f ca="1">расчет!AY42</f>
        <v>0</v>
      </c>
      <c r="J62" s="110">
        <f ca="1">расчет!AZ42</f>
        <v>0</v>
      </c>
      <c r="K62" s="110">
        <f ca="1">расчет!BA42</f>
        <v>0</v>
      </c>
      <c r="L62" s="110">
        <f ca="1">расчет!BB42</f>
        <v>0</v>
      </c>
      <c r="M62" s="110">
        <f ca="1">расчет!BC42</f>
        <v>0</v>
      </c>
    </row>
    <row r="63" spans="1:13" hidden="1">
      <c r="D63" s="110">
        <f ca="1">расчет!AT43</f>
        <v>0</v>
      </c>
      <c r="E63" s="110">
        <f ca="1">расчет!AU43</f>
        <v>0</v>
      </c>
      <c r="F63" s="110">
        <f ca="1">расчет!AV43</f>
        <v>357</v>
      </c>
      <c r="G63" s="110">
        <f ca="1">расчет!AW43</f>
        <v>0</v>
      </c>
      <c r="H63" s="110">
        <f ca="1">расчет!AX43</f>
        <v>357</v>
      </c>
      <c r="I63" s="110">
        <f ca="1">расчет!AY43</f>
        <v>0</v>
      </c>
      <c r="J63" s="110">
        <f ca="1">расчет!AZ43</f>
        <v>0</v>
      </c>
      <c r="K63" s="110">
        <f ca="1">расчет!BA43</f>
        <v>0</v>
      </c>
      <c r="L63" s="110">
        <f ca="1">расчет!BB43</f>
        <v>0</v>
      </c>
      <c r="M63" s="110">
        <f ca="1">расчет!BC43</f>
        <v>0</v>
      </c>
    </row>
    <row r="64" spans="1:13" hidden="1">
      <c r="D64" s="110">
        <f>расчет!AT44</f>
        <v>0</v>
      </c>
      <c r="E64" s="110">
        <f>расчет!AU44</f>
        <v>0</v>
      </c>
      <c r="F64" s="110">
        <f>расчет!AV44</f>
        <v>0</v>
      </c>
      <c r="G64" s="110">
        <f>расчет!AW44</f>
        <v>0</v>
      </c>
      <c r="H64" s="110">
        <f>расчет!AX44</f>
        <v>0</v>
      </c>
      <c r="I64" s="110">
        <f>расчет!AY44</f>
        <v>0</v>
      </c>
      <c r="J64" s="110">
        <f>расчет!AZ44</f>
        <v>0</v>
      </c>
      <c r="K64" s="110">
        <f>расчет!BA44</f>
        <v>0</v>
      </c>
      <c r="L64" s="110">
        <f>расчет!BB44</f>
        <v>0</v>
      </c>
      <c r="M64" s="110">
        <f>расчет!BC44</f>
        <v>0</v>
      </c>
    </row>
    <row r="65" spans="4:13" hidden="1">
      <c r="D65" s="110">
        <f>расчет!AT45</f>
        <v>0</v>
      </c>
      <c r="E65" s="110">
        <f>расчет!AU45</f>
        <v>0</v>
      </c>
      <c r="F65" s="110">
        <f>расчет!AV45</f>
        <v>0</v>
      </c>
      <c r="G65" s="110">
        <f>расчет!AW45</f>
        <v>0</v>
      </c>
      <c r="H65" s="110">
        <f>расчет!AX45</f>
        <v>0</v>
      </c>
      <c r="I65" s="110">
        <f>расчет!AY45</f>
        <v>0</v>
      </c>
      <c r="J65" s="110">
        <f>расчет!AZ45</f>
        <v>0</v>
      </c>
      <c r="K65" s="110">
        <f>расчет!BA45</f>
        <v>0</v>
      </c>
      <c r="L65" s="110">
        <f>расчет!BB45</f>
        <v>0</v>
      </c>
      <c r="M65" s="110">
        <f>расчет!BC45</f>
        <v>0</v>
      </c>
    </row>
    <row r="66" spans="4:13" hidden="1">
      <c r="D66" s="110">
        <f ca="1">расчет!AT46</f>
        <v>478</v>
      </c>
      <c r="E66" s="110">
        <f ca="1">расчет!AU46</f>
        <v>478</v>
      </c>
      <c r="F66" s="110">
        <f ca="1">расчет!AV46</f>
        <v>0</v>
      </c>
      <c r="G66" s="110">
        <f ca="1">расчет!AW46</f>
        <v>0</v>
      </c>
      <c r="H66" s="110">
        <f ca="1">расчет!AX46</f>
        <v>0</v>
      </c>
      <c r="I66" s="110">
        <f ca="1">расчет!AY46</f>
        <v>0</v>
      </c>
      <c r="J66" s="110">
        <f ca="1">расчет!AZ46</f>
        <v>0</v>
      </c>
      <c r="K66" s="110">
        <f ca="1">расчет!BA46</f>
        <v>0</v>
      </c>
      <c r="L66" s="110">
        <f ca="1">расчет!BB46</f>
        <v>0</v>
      </c>
      <c r="M66" s="110">
        <f ca="1">расчет!BC46</f>
        <v>0</v>
      </c>
    </row>
    <row r="67" spans="4:13" hidden="1">
      <c r="D67" s="110">
        <f>расчет!AT47</f>
        <v>0</v>
      </c>
      <c r="E67" s="110">
        <f>расчет!AU47</f>
        <v>0</v>
      </c>
      <c r="F67" s="110">
        <f>расчет!AV47</f>
        <v>0</v>
      </c>
      <c r="G67" s="110">
        <f>расчет!AW47</f>
        <v>0</v>
      </c>
      <c r="H67" s="110">
        <f>расчет!AX47</f>
        <v>0</v>
      </c>
      <c r="I67" s="110">
        <f>расчет!AY47</f>
        <v>0</v>
      </c>
      <c r="J67" s="110">
        <f>расчет!AZ47</f>
        <v>0</v>
      </c>
      <c r="K67" s="110">
        <f>расчет!BA47</f>
        <v>0</v>
      </c>
      <c r="L67" s="110">
        <f>расчет!BB47</f>
        <v>0</v>
      </c>
      <c r="M67" s="110">
        <f>расчет!BC47</f>
        <v>0</v>
      </c>
    </row>
    <row r="68" spans="4:13" hidden="1">
      <c r="D68" s="110">
        <f ca="1">расчет!AT48</f>
        <v>0</v>
      </c>
      <c r="E68" s="110">
        <f ca="1">расчет!AU48</f>
        <v>0</v>
      </c>
      <c r="F68" s="110">
        <f ca="1">расчет!AV48</f>
        <v>0</v>
      </c>
      <c r="G68" s="110">
        <f ca="1">расчет!AW48</f>
        <v>0</v>
      </c>
      <c r="H68" s="110">
        <f ca="1">расчет!AX48</f>
        <v>0</v>
      </c>
      <c r="I68" s="110">
        <f ca="1">расчет!AY48</f>
        <v>0</v>
      </c>
      <c r="J68" s="110">
        <f ca="1">расчет!AZ48</f>
        <v>0</v>
      </c>
      <c r="K68" s="110">
        <f ca="1">расчет!BA48</f>
        <v>0</v>
      </c>
      <c r="L68" s="110">
        <f ca="1">расчет!BB48</f>
        <v>0</v>
      </c>
      <c r="M68" s="110">
        <f ca="1">расчет!BC48</f>
        <v>0</v>
      </c>
    </row>
    <row r="69" spans="4:13" hidden="1">
      <c r="D69" s="110">
        <f>расчет!AT49</f>
        <v>0</v>
      </c>
      <c r="E69" s="110">
        <f>расчет!AU49</f>
        <v>0</v>
      </c>
      <c r="F69" s="110">
        <f>расчет!AV49</f>
        <v>0</v>
      </c>
      <c r="G69" s="110">
        <f>расчет!AW49</f>
        <v>0</v>
      </c>
      <c r="H69" s="110">
        <f>расчет!AX49</f>
        <v>0</v>
      </c>
      <c r="I69" s="110">
        <f>расчет!AY49</f>
        <v>0</v>
      </c>
      <c r="J69" s="110">
        <f>расчет!AZ49</f>
        <v>0</v>
      </c>
      <c r="K69" s="110">
        <f>расчет!BA49</f>
        <v>0</v>
      </c>
      <c r="L69" s="110">
        <f>расчет!BB49</f>
        <v>0</v>
      </c>
      <c r="M69" s="110">
        <f>расчет!BC49</f>
        <v>0</v>
      </c>
    </row>
    <row r="70" spans="4:13" hidden="1">
      <c r="D70" s="110">
        <f ca="1">расчет!AT50</f>
        <v>0</v>
      </c>
      <c r="E70" s="110">
        <f ca="1">расчет!AU50</f>
        <v>0</v>
      </c>
      <c r="F70" s="110">
        <f ca="1">расчет!AV50</f>
        <v>0</v>
      </c>
      <c r="G70" s="110">
        <f ca="1">расчет!AW50</f>
        <v>0</v>
      </c>
      <c r="H70" s="110">
        <f ca="1">расчет!AX50</f>
        <v>0</v>
      </c>
      <c r="I70" s="110">
        <f ca="1">расчет!AY50</f>
        <v>0</v>
      </c>
      <c r="J70" s="110">
        <f ca="1">расчет!AZ50</f>
        <v>0</v>
      </c>
      <c r="K70" s="110">
        <f ca="1">расчет!BA50</f>
        <v>0</v>
      </c>
      <c r="L70" s="110">
        <f ca="1">расчет!BB50</f>
        <v>0</v>
      </c>
      <c r="M70" s="110">
        <f ca="1">расчет!BC50</f>
        <v>0</v>
      </c>
    </row>
    <row r="71" spans="4:13" hidden="1">
      <c r="D71" s="110">
        <f>расчет!AT53</f>
        <v>0</v>
      </c>
      <c r="E71" s="110">
        <f>расчет!AU53</f>
        <v>0</v>
      </c>
      <c r="F71" s="110">
        <f>расчет!AV53</f>
        <v>0</v>
      </c>
      <c r="G71" s="110">
        <f>расчет!AW53</f>
        <v>0</v>
      </c>
      <c r="H71" s="110">
        <f>расчет!AX53</f>
        <v>0</v>
      </c>
      <c r="I71" s="110">
        <f>расчет!AY53</f>
        <v>0</v>
      </c>
      <c r="J71" s="110">
        <f>расчет!AZ53</f>
        <v>0</v>
      </c>
      <c r="K71" s="110">
        <f>расчет!BA53</f>
        <v>0</v>
      </c>
      <c r="L71" s="110">
        <f>расчет!BB53</f>
        <v>0</v>
      </c>
      <c r="M71" s="110">
        <f>расчет!BC53</f>
        <v>0</v>
      </c>
    </row>
    <row r="72" spans="4:13" hidden="1">
      <c r="D72" s="110">
        <f ca="1">расчет!AT52</f>
        <v>0</v>
      </c>
      <c r="E72" s="110">
        <f ca="1">расчет!AU52</f>
        <v>0</v>
      </c>
      <c r="F72" s="110">
        <f ca="1">расчет!AV52</f>
        <v>0</v>
      </c>
      <c r="G72" s="110">
        <f ca="1">расчет!AW52</f>
        <v>0</v>
      </c>
      <c r="H72" s="110">
        <f ca="1">расчет!AX52</f>
        <v>0</v>
      </c>
      <c r="I72" s="110">
        <f ca="1">расчет!AY52</f>
        <v>0</v>
      </c>
      <c r="J72" s="110">
        <f ca="1">расчет!AZ52</f>
        <v>0</v>
      </c>
      <c r="K72" s="110">
        <f ca="1">расчет!BA52</f>
        <v>0</v>
      </c>
      <c r="L72" s="110">
        <f ca="1">расчет!BB52</f>
        <v>0</v>
      </c>
      <c r="M72" s="110">
        <f ca="1">расчет!BC52</f>
        <v>0</v>
      </c>
    </row>
    <row r="73" spans="4:13" hidden="1">
      <c r="D73" s="110">
        <f>расчет!AT55</f>
        <v>0</v>
      </c>
      <c r="E73" s="110">
        <f>расчет!AU55</f>
        <v>0</v>
      </c>
      <c r="F73" s="110">
        <f>расчет!AV55</f>
        <v>0</v>
      </c>
      <c r="G73" s="110">
        <f>расчет!AW55</f>
        <v>0</v>
      </c>
      <c r="H73" s="110">
        <f>расчет!AX55</f>
        <v>0</v>
      </c>
      <c r="I73" s="110">
        <f>расчет!AY55</f>
        <v>0</v>
      </c>
      <c r="J73" s="110">
        <f>расчет!AZ55</f>
        <v>0</v>
      </c>
      <c r="K73" s="110">
        <f>расчет!BA55</f>
        <v>0</v>
      </c>
      <c r="L73" s="110">
        <f>расчет!BB55</f>
        <v>0</v>
      </c>
      <c r="M73" s="110">
        <f>расчет!BC55</f>
        <v>0</v>
      </c>
    </row>
    <row r="74" spans="4:13" hidden="1">
      <c r="D74" s="110">
        <f ca="1">расчет!AT54</f>
        <v>0</v>
      </c>
      <c r="E74" s="110">
        <f ca="1">расчет!AU54</f>
        <v>0</v>
      </c>
      <c r="F74" s="110">
        <f ca="1">расчет!AV54</f>
        <v>0</v>
      </c>
      <c r="G74" s="110">
        <f ca="1">расчет!AW54</f>
        <v>0</v>
      </c>
      <c r="H74" s="110">
        <f ca="1">расчет!AX54</f>
        <v>0</v>
      </c>
      <c r="I74" s="110">
        <f ca="1">расчет!AY54</f>
        <v>0</v>
      </c>
      <c r="J74" s="110">
        <f ca="1">расчет!AZ54</f>
        <v>0</v>
      </c>
      <c r="K74" s="110">
        <f ca="1">расчет!BA54</f>
        <v>0</v>
      </c>
      <c r="L74" s="110">
        <f ca="1">расчет!BB54</f>
        <v>0</v>
      </c>
      <c r="M74" s="110">
        <f ca="1">расчет!BC54</f>
        <v>0</v>
      </c>
    </row>
    <row r="75" spans="4:13" hidden="1">
      <c r="D75" s="110">
        <f>расчет!AT57</f>
        <v>0</v>
      </c>
      <c r="E75" s="110">
        <f>расчет!AU57</f>
        <v>0</v>
      </c>
      <c r="F75" s="110">
        <f>расчет!AV57</f>
        <v>0</v>
      </c>
      <c r="G75" s="110">
        <f>расчет!AW57</f>
        <v>0</v>
      </c>
      <c r="H75" s="110">
        <f>расчет!AX57</f>
        <v>0</v>
      </c>
      <c r="I75" s="110">
        <f>расчет!AY57</f>
        <v>0</v>
      </c>
      <c r="J75" s="110">
        <f>расчет!AZ57</f>
        <v>0</v>
      </c>
      <c r="K75" s="110">
        <f>расчет!BA57</f>
        <v>0</v>
      </c>
      <c r="L75" s="110">
        <f>расчет!BB57</f>
        <v>0</v>
      </c>
      <c r="M75" s="110">
        <f>расчет!BC57</f>
        <v>0</v>
      </c>
    </row>
    <row r="76" spans="4:13" hidden="1">
      <c r="D76" s="110">
        <f ca="1">расчет!AT56</f>
        <v>0</v>
      </c>
      <c r="E76" s="110">
        <f ca="1">расчет!AU56</f>
        <v>0</v>
      </c>
      <c r="F76" s="110">
        <f ca="1">расчет!AV56</f>
        <v>0</v>
      </c>
      <c r="G76" s="110">
        <f ca="1">расчет!AW56</f>
        <v>0</v>
      </c>
      <c r="H76" s="110">
        <f ca="1">расчет!AX56</f>
        <v>0</v>
      </c>
      <c r="I76" s="110">
        <f ca="1">расчет!AY56</f>
        <v>0</v>
      </c>
      <c r="J76" s="110">
        <f ca="1">расчет!AZ56</f>
        <v>0</v>
      </c>
      <c r="K76" s="110">
        <f ca="1">расчет!BA56</f>
        <v>0</v>
      </c>
      <c r="L76" s="110">
        <f ca="1">расчет!BB56</f>
        <v>0</v>
      </c>
      <c r="M76" s="110">
        <f ca="1">расчет!BC56</f>
        <v>0</v>
      </c>
    </row>
    <row r="77" spans="4:13" hidden="1">
      <c r="D77" s="110">
        <f>расчет!AT59</f>
        <v>0</v>
      </c>
      <c r="E77" s="110">
        <f>расчет!AU59</f>
        <v>0</v>
      </c>
      <c r="F77" s="110">
        <f>расчет!AV59</f>
        <v>0</v>
      </c>
      <c r="G77" s="110">
        <f>расчет!AW59</f>
        <v>0</v>
      </c>
      <c r="H77" s="110">
        <f>расчет!AX59</f>
        <v>0</v>
      </c>
      <c r="I77" s="110">
        <f>расчет!AY59</f>
        <v>0</v>
      </c>
      <c r="J77" s="110">
        <f>расчет!AZ59</f>
        <v>0</v>
      </c>
      <c r="K77" s="110">
        <f>расчет!BA59</f>
        <v>0</v>
      </c>
      <c r="L77" s="110">
        <f>расчет!BB59</f>
        <v>0</v>
      </c>
      <c r="M77" s="110">
        <f>расчет!BC59</f>
        <v>0</v>
      </c>
    </row>
    <row r="78" spans="4:13" hidden="1">
      <c r="D78" s="110">
        <f ca="1">расчет!AT58</f>
        <v>0</v>
      </c>
      <c r="E78" s="110">
        <f ca="1">расчет!AU58</f>
        <v>0</v>
      </c>
      <c r="F78" s="110">
        <f ca="1">расчет!AV58</f>
        <v>0</v>
      </c>
      <c r="G78" s="110">
        <f ca="1">расчет!AW58</f>
        <v>0</v>
      </c>
      <c r="H78" s="110">
        <f ca="1">расчет!AX58</f>
        <v>0</v>
      </c>
      <c r="I78" s="110">
        <f ca="1">расчет!AY58</f>
        <v>0</v>
      </c>
      <c r="J78" s="110">
        <f ca="1">расчет!AZ58</f>
        <v>0</v>
      </c>
      <c r="K78" s="110">
        <f ca="1">расчет!BA58</f>
        <v>0</v>
      </c>
      <c r="L78" s="110">
        <f ca="1">расчет!BB58</f>
        <v>0</v>
      </c>
      <c r="M78" s="110">
        <f ca="1">расчет!BC58</f>
        <v>0</v>
      </c>
    </row>
  </sheetData>
  <sheetProtection formatCells="0" formatColumns="0" formatRows="0" insertColumns="0" insertRows="0" insertHyperlinks="0" deleteColumns="0" deleteRows="0" selectLockedCells="1" sort="0" autoFilter="0" pivotTables="0"/>
  <dataConsolidate/>
  <mergeCells count="62">
    <mergeCell ref="A21:A22"/>
    <mergeCell ref="B21:B22"/>
    <mergeCell ref="B16:C16"/>
    <mergeCell ref="B26:C26"/>
    <mergeCell ref="I11:I14"/>
    <mergeCell ref="G11:G14"/>
    <mergeCell ref="H11:H14"/>
    <mergeCell ref="A18:A19"/>
    <mergeCell ref="B18:B19"/>
    <mergeCell ref="K2:L2"/>
    <mergeCell ref="D3:I3"/>
    <mergeCell ref="D4:I4"/>
    <mergeCell ref="J11:J14"/>
    <mergeCell ref="K5:L5"/>
    <mergeCell ref="K11:K14"/>
    <mergeCell ref="K1:L1"/>
    <mergeCell ref="B17:C17"/>
    <mergeCell ref="B23:C23"/>
    <mergeCell ref="L11:L14"/>
    <mergeCell ref="D2:J2"/>
    <mergeCell ref="B14:C14"/>
    <mergeCell ref="K6:L6"/>
    <mergeCell ref="A8:C8"/>
    <mergeCell ref="D8:M8"/>
    <mergeCell ref="B9:C9"/>
    <mergeCell ref="B10:C10"/>
    <mergeCell ref="D11:D14"/>
    <mergeCell ref="E11:E14"/>
    <mergeCell ref="F11:F14"/>
    <mergeCell ref="M11:M14"/>
    <mergeCell ref="B15:C15"/>
    <mergeCell ref="A44:A45"/>
    <mergeCell ref="B44:B45"/>
    <mergeCell ref="B24:C24"/>
    <mergeCell ref="B27:C27"/>
    <mergeCell ref="B28:C28"/>
    <mergeCell ref="A29:A30"/>
    <mergeCell ref="B29:B30"/>
    <mergeCell ref="B31:C31"/>
    <mergeCell ref="B25:C25"/>
    <mergeCell ref="A36:A37"/>
    <mergeCell ref="B36:B37"/>
    <mergeCell ref="A34:A35"/>
    <mergeCell ref="B34:B35"/>
    <mergeCell ref="A32:A33"/>
    <mergeCell ref="B32:B33"/>
    <mergeCell ref="A38:A39"/>
    <mergeCell ref="C49:G49"/>
    <mergeCell ref="I49:M49"/>
    <mergeCell ref="C50:G50"/>
    <mergeCell ref="I50:M50"/>
    <mergeCell ref="C46:G46"/>
    <mergeCell ref="I46:M46"/>
    <mergeCell ref="C47:G47"/>
    <mergeCell ref="I47:M47"/>
    <mergeCell ref="C48:G48"/>
    <mergeCell ref="I48:M48"/>
    <mergeCell ref="B38:B39"/>
    <mergeCell ref="A40:A41"/>
    <mergeCell ref="B40:B41"/>
    <mergeCell ref="A42:A43"/>
    <mergeCell ref="B42:B43"/>
  </mergeCells>
  <conditionalFormatting sqref="D43:M43">
    <cfRule type="expression" dxfId="185" priority="26">
      <formula>D73&gt;60</formula>
    </cfRule>
  </conditionalFormatting>
  <conditionalFormatting sqref="D43:M43">
    <cfRule type="expression" dxfId="184" priority="25">
      <formula>D73&gt;180</formula>
    </cfRule>
  </conditionalFormatting>
  <conditionalFormatting sqref="D42:M42">
    <cfRule type="expression" dxfId="183" priority="27">
      <formula>D73&gt;60</formula>
    </cfRule>
  </conditionalFormatting>
  <conditionalFormatting sqref="D42:M42">
    <cfRule type="expression" dxfId="182" priority="29">
      <formula>D73&gt;180</formula>
    </cfRule>
  </conditionalFormatting>
  <conditionalFormatting sqref="D41:M41">
    <cfRule type="expression" dxfId="181" priority="30">
      <formula>D73&gt;60</formula>
    </cfRule>
  </conditionalFormatting>
  <conditionalFormatting sqref="D41:M41">
    <cfRule type="expression" dxfId="180" priority="32">
      <formula>D73&gt;180</formula>
    </cfRule>
  </conditionalFormatting>
  <conditionalFormatting sqref="D40:M40">
    <cfRule type="expression" dxfId="179" priority="33">
      <formula>D73&gt;60</formula>
    </cfRule>
  </conditionalFormatting>
  <conditionalFormatting sqref="D40:M40">
    <cfRule type="expression" dxfId="178" priority="35">
      <formula>D73&gt;180</formula>
    </cfRule>
  </conditionalFormatting>
  <conditionalFormatting sqref="D39:M39">
    <cfRule type="expression" dxfId="177" priority="36">
      <formula>D73&gt;60</formula>
    </cfRule>
  </conditionalFormatting>
  <conditionalFormatting sqref="D39:M39">
    <cfRule type="expression" dxfId="176" priority="38">
      <formula>D73&gt;180</formula>
    </cfRule>
  </conditionalFormatting>
  <conditionalFormatting sqref="D17:M43">
    <cfRule type="expression" dxfId="175" priority="39">
      <formula>D52&gt;60</formula>
    </cfRule>
  </conditionalFormatting>
  <conditionalFormatting sqref="D17:M43">
    <cfRule type="expression" dxfId="174" priority="41">
      <formula>D52&gt;180</formula>
    </cfRule>
  </conditionalFormatting>
  <conditionalFormatting sqref="E42:F42">
    <cfRule type="expression" dxfId="173" priority="24">
      <formula>E72&gt;60</formula>
    </cfRule>
  </conditionalFormatting>
  <conditionalFormatting sqref="E42:F42">
    <cfRule type="expression" dxfId="172" priority="23">
      <formula>E72&gt;180</formula>
    </cfRule>
  </conditionalFormatting>
  <conditionalFormatting sqref="E41:F41">
    <cfRule type="expression" dxfId="171" priority="22">
      <formula>E72&gt;60</formula>
    </cfRule>
  </conditionalFormatting>
  <conditionalFormatting sqref="E41:F41">
    <cfRule type="expression" dxfId="170" priority="21">
      <formula>E72&gt;180</formula>
    </cfRule>
  </conditionalFormatting>
  <conditionalFormatting sqref="E40:F40">
    <cfRule type="expression" dxfId="169" priority="20">
      <formula>E72&gt;60</formula>
    </cfRule>
  </conditionalFormatting>
  <conditionalFormatting sqref="E40:F40">
    <cfRule type="expression" dxfId="168" priority="19">
      <formula>E72&gt;180</formula>
    </cfRule>
  </conditionalFormatting>
  <conditionalFormatting sqref="E39:F39">
    <cfRule type="expression" dxfId="167" priority="18">
      <formula>E72&gt;60</formula>
    </cfRule>
  </conditionalFormatting>
  <conditionalFormatting sqref="E39:F39">
    <cfRule type="expression" dxfId="166" priority="17">
      <formula>E72&gt;180</formula>
    </cfRule>
  </conditionalFormatting>
  <conditionalFormatting sqref="E43:F43">
    <cfRule type="expression" dxfId="165" priority="16">
      <formula>E74&gt;60</formula>
    </cfRule>
  </conditionalFormatting>
  <conditionalFormatting sqref="E43:F43">
    <cfRule type="expression" dxfId="164" priority="15">
      <formula>E74&gt;180</formula>
    </cfRule>
  </conditionalFormatting>
  <conditionalFormatting sqref="E42:F42">
    <cfRule type="expression" dxfId="163" priority="14">
      <formula>E74&gt;60</formula>
    </cfRule>
  </conditionalFormatting>
  <conditionalFormatting sqref="E42:F42">
    <cfRule type="expression" dxfId="162" priority="13">
      <formula>E74&gt;180</formula>
    </cfRule>
  </conditionalFormatting>
  <conditionalFormatting sqref="E41:F41">
    <cfRule type="expression" dxfId="161" priority="12">
      <formula>E74&gt;60</formula>
    </cfRule>
  </conditionalFormatting>
  <conditionalFormatting sqref="E41:F41">
    <cfRule type="expression" dxfId="160" priority="11">
      <formula>E74&gt;180</formula>
    </cfRule>
  </conditionalFormatting>
  <conditionalFormatting sqref="E40:F40">
    <cfRule type="expression" dxfId="159" priority="10">
      <formula>E74&gt;60</formula>
    </cfRule>
  </conditionalFormatting>
  <conditionalFormatting sqref="E40:F40">
    <cfRule type="expression" dxfId="158" priority="9">
      <formula>E74&gt;180</formula>
    </cfRule>
  </conditionalFormatting>
  <conditionalFormatting sqref="E43:F43">
    <cfRule type="expression" dxfId="157" priority="8">
      <formula>E73&gt;60</formula>
    </cfRule>
  </conditionalFormatting>
  <conditionalFormatting sqref="E43:F43">
    <cfRule type="expression" dxfId="156" priority="7">
      <formula>E73&gt;180</formula>
    </cfRule>
  </conditionalFormatting>
  <conditionalFormatting sqref="E42:F42">
    <cfRule type="expression" dxfId="155" priority="6">
      <formula>E73&gt;60</formula>
    </cfRule>
  </conditionalFormatting>
  <conditionalFormatting sqref="E42:F42">
    <cfRule type="expression" dxfId="154" priority="5">
      <formula>E73&gt;180</formula>
    </cfRule>
  </conditionalFormatting>
  <conditionalFormatting sqref="E41:F41">
    <cfRule type="expression" dxfId="153" priority="4">
      <formula>E73&gt;60</formula>
    </cfRule>
  </conditionalFormatting>
  <conditionalFormatting sqref="E41:F41">
    <cfRule type="expression" dxfId="152" priority="3">
      <formula>E73&gt;180</formula>
    </cfRule>
  </conditionalFormatting>
  <conditionalFormatting sqref="E40:F40">
    <cfRule type="expression" dxfId="151" priority="2">
      <formula>E73&gt;60</formula>
    </cfRule>
  </conditionalFormatting>
  <conditionalFormatting sqref="E40:F40">
    <cfRule type="expression" dxfId="150" priority="1">
      <formula>E73&gt;180</formula>
    </cfRule>
  </conditionalFormatting>
  <dataValidations count="24">
    <dataValidation type="list" errorStyle="information" allowBlank="1" showInputMessage="1" showErrorMessage="1" errorTitle="Новый тип ТТНП!" error="Согласуйте этот тип оборудования с отделом продаж ООО ЭКТА" sqref="D31:M31">
      <formula1>ТТнулевойпоследлвательности</formula1>
    </dataValidation>
    <dataValidation type="list" errorStyle="information" allowBlank="1" showInputMessage="1" showErrorMessage="1" error="Количество кабелей подключаемых к ячейке ограничено" sqref="D45:M45">
      <formula1>"1, 2, 3"</formula1>
    </dataValidation>
    <dataValidation allowBlank="1" showInputMessage="1" sqref="D44:M44 D29:M30"/>
    <dataValidation type="list" allowBlank="1" showInputMessage="1" sqref="D24:M24">
      <formula1>Счетчик10</formula1>
    </dataValidation>
    <dataValidation type="list" errorStyle="warning" allowBlank="1" showInputMessage="1" sqref="D20:M20">
      <formula1>МПЗ</formula1>
    </dataValidation>
    <dataValidation type="list" errorStyle="information" allowBlank="1" showInputMessage="1" showErrorMessage="1" errorTitle="Новый тип оборудования!" error="Согласуйте этот тип оборудования с отделом продаж ООО ЭКТА" sqref="D26:M26">
      <formula1>ТСН</formula1>
    </dataValidation>
    <dataValidation type="list" allowBlank="1" sqref="D28:M28">
      <formula1>ОПН</formula1>
    </dataValidation>
    <dataValidation type="list" errorStyle="information" allowBlank="1" showInputMessage="1" showErrorMessage="1" errorTitle="Новый тип оборудования!" error="Согласуйте этот тип оборудования с отделом продаж ООО ЭКТА" sqref="D25:M25">
      <formula1>ТН</formula1>
    </dataValidation>
    <dataValidation type="list" errorStyle="warning" allowBlank="1" showInputMessage="1" showErrorMessage="1" errorTitle="Неверное значение!" error="Такой схемы не существует!_x000a_Сетка схем предоставлена на листе справочный материал" sqref="D10:M10">
      <formula1>"КСО-204, КСО-204м, КСО-211, КСО-393"</formula1>
    </dataValidation>
    <dataValidation allowBlank="1" showInputMessage="1" showErrorMessage="1" error="Неверное значение!_x000a_Сетка схем предоставлена на листе справочный материал" sqref="D16:M16 C13"/>
    <dataValidation type="list" allowBlank="1" showInputMessage="1" sqref="D15:M15">
      <formula1>"Ввод,Линия,Линия к ТР,ТН,ТСН,СВ,СР"</formula1>
    </dataValidation>
    <dataValidation type="list" errorStyle="information" allowBlank="1" showInputMessage="1" showErrorMessage="1" errorTitle="Новый тип БУ!" error="Данный тип блока являеться не типовым для ВВ/ТЭЛ, обратитесь к РЭ на выключатель (www.tavrida.ru)" sqref="D19:M19">
      <formula1>Блокуправления</formula1>
    </dataValidation>
    <dataValidation type="list" errorStyle="information" allowBlank="1" showInputMessage="1" showErrorMessage="1" errorTitle="Неверное значение коэффициента!" error="Проверьте тип трансформатора и его коэффициент трансформации согласно техническим параметрам" sqref="D22:M22">
      <formula1>Трансформатортока</formula1>
    </dataValidation>
    <dataValidation type="list" errorStyle="information" allowBlank="1" showInputMessage="1" showErrorMessage="1" errorTitle="Новый тип ТТНП!" error="Согласуйте этот тип оборудования с отделом продаж ООО ЭКТА" sqref="D37:M37 D43:M43 G39:M39 D35:M35 D41:M41 D39 D33:M33">
      <formula1>Доп</formula1>
    </dataValidation>
    <dataValidation type="list" allowBlank="1" showInputMessage="1" showErrorMessage="1" error="Неверное значение!_x000a_Сетка схем предоставлена на листе справочный материал" sqref="D17:M17">
      <formula1>Разъединитель</formula1>
    </dataValidation>
    <dataValidation type="list" errorStyle="information" allowBlank="1" showInputMessage="1" showErrorMessage="1" errorTitle="Неверное значение коэффициента!" error="Проверьте тип трансформатора и его коэффициент трансформации согласно техническим параметрам" sqref="D21:M21">
      <formula1>"1,2,3"</formula1>
    </dataValidation>
    <dataValidation type="whole" errorStyle="information" allowBlank="1" showInputMessage="1" showErrorMessage="1" errorTitle="Новый тип ТТНП!" error="Согласуйте этот тип оборудования с отделом продаж ООО ЭКТА" sqref="D38:M38 D34:M34 D36:M36 E39:F39 D42:M42 D40:M40 D32:M32">
      <formula1>0</formula1>
      <formula2>3</formula2>
    </dataValidation>
    <dataValidation type="list" errorStyle="warning" allowBlank="1" showErrorMessage="1" errorTitle="Недопустимое значение!" error=" Номинальное напряжение на стороне РУВН 6 или 10 кВ!" sqref="C11">
      <formula1>"6, 10"</formula1>
    </dataValidation>
    <dataValidation type="list" errorStyle="warning" allowBlank="1" showInputMessage="1" showErrorMessage="1" errorTitle="Недопустимое значение!" error="КСО-204 (КСО-204М) имеют сборные шины наток до 1000А включительно" sqref="C12">
      <formula1>"630,1000,Cu630,Cu1000,Cu1600"</formula1>
    </dataValidation>
    <dataValidation type="list" allowBlank="1" sqref="C7">
      <formula1>"КСО-204, КСО-204м, КСО-211, КСО-393"</formula1>
    </dataValidation>
    <dataValidation type="list" allowBlank="1" showInputMessage="1" sqref="D27:M27">
      <formula1>ПТ</formula1>
    </dataValidation>
    <dataValidation allowBlank="1" showErrorMessage="1" sqref="D11:M14"/>
    <dataValidation type="list" errorStyle="information" allowBlank="1" showInputMessage="1" showErrorMessage="1" errorTitle="Новый тип аппарата!" error="Данный тип выключателя не являеться типовым для ячеек КСО-204_x000a_Необходимо согласовать с отделом продаж ООО ЭКТА" prompt="Для КСО-211 ТН и СР устанавливать &quot;касетный элемент&quot;" sqref="D18:M18">
      <formula1>Выкл</formula1>
    </dataValidation>
    <dataValidation type="list" allowBlank="1" showInputMessage="1" showErrorMessage="1" error="Неверное значение!_x000a_Сетка схем предоставлена на листе справочный материал" promptTitle="Линейный разъединитель" prompt="Для КСО-211 выбирать  РВЗ-И-10/31,5-150_x000a_" sqref="D23:M23">
      <formula1>Разъединитель</formula1>
    </dataValidation>
  </dataValidations>
  <pageMargins left="0.7" right="0.7" top="0.75" bottom="0.75" header="0.3" footer="0.3"/>
  <pageSetup paperSize="9" scale="4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J19"/>
  <sheetViews>
    <sheetView tabSelected="1" zoomScale="115" zoomScaleNormal="115" workbookViewId="0">
      <selection activeCell="C9" sqref="C3:C9"/>
    </sheetView>
  </sheetViews>
  <sheetFormatPr defaultRowHeight="12.75"/>
  <cols>
    <col min="1" max="1" width="8.28515625" customWidth="1"/>
    <col min="2" max="2" width="67.28515625" customWidth="1"/>
    <col min="3" max="3" width="7.42578125" customWidth="1"/>
    <col min="4" max="4" width="19.85546875" bestFit="1" customWidth="1"/>
    <col min="5" max="5" width="11.42578125" bestFit="1" customWidth="1"/>
    <col min="6" max="6" width="14.28515625" customWidth="1"/>
    <col min="7" max="7" width="18.85546875" customWidth="1"/>
    <col min="9" max="9" width="12.5703125" customWidth="1"/>
  </cols>
  <sheetData>
    <row r="1" spans="1:10">
      <c r="A1" t="s">
        <v>20</v>
      </c>
    </row>
    <row r="2" spans="1:10" ht="38.25" customHeight="1">
      <c r="A2" s="3" t="s">
        <v>21</v>
      </c>
      <c r="B2" s="3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I2" s="4" t="s">
        <v>186</v>
      </c>
      <c r="J2" s="133">
        <v>1</v>
      </c>
      <c r="K2" t="inlineStr">
        <is>
          <t>1СШ</t>
        </is>
      </c>
      <c r="L2" t="inlineStr">
        <is>
          <t>2СШ</t>
        </is>
      </c>
    </row>
    <row r="3" spans="1:10" ht="98.25" customHeight="1">
      <c r="A3" s="6"/>
      <c r="B3" s="103" t="str">
        <f>IF('КСО-204'!D15="","",расчет!C36)</f>
        <v>КСО-204 сх7ВВ-Линия, 
Шинный разъединитель: РВФЗ-10/1000, 
Вакуумный выключатель: VM12-10-20/1000, 
Блок управления: CVM 1.2 ВЕАШ468389.001-01, 
Микропроцессорная защита: АГАТ 200. А, 
Трансформаторы тока: 3хТПЛ-10 200/5 0,5S/10P, 
Линейный разъединитель: РВЗ-10/1000, 
Прибор учёта: Меркурий 234 АRTM(Х)2-00 (D)PBR.G, 
Трансформатор тока нулевой последовательности: ТЗЛМ-1</v>
      </c>
      <c r="C3" s="106">
        <v>0</v>
      </c>
      <c r="D3" s="104">
        <f>расчет!C35</f>
        <v>636183</v>
      </c>
      <c r="E3" s="104">
        <f t="shared" ref="E3:E12" si="0">D3*C3</f>
        <v>2544732</v>
      </c>
      <c r="F3" s="104">
        <f>расчет!C34</f>
        <v>409844</v>
      </c>
      <c r="G3" s="104">
        <f>F3*C3</f>
        <v>1639376</v>
      </c>
      <c r="K3"/>
      <c r="L3"/>
    </row>
    <row r="4" spans="1:10" ht="98.25" customHeight="1">
      <c r="A4" s="6"/>
      <c r="B4" s="103" t="str">
        <f>IF('КСО-204'!E15="","",расчет!E36)</f>
        <v>КСО-204 сх7ВВ-Линия, 
Шинный разъединитель: РВФЗ-10/1000, 
Вакуумный выключатель: VM12-10-20/1000, 
Блок управления: CVM 1.2 ВЕАШ468389.001-01, 
Микропроцессорная защита: АГАТ 200. А, 
Трансформаторы тока: 3хТПЛ-10 600/5 0,5S/10P, 
Линейный разъединитель: РВЗ-10/1000, 
Прибор учёта: Меркурий 234 АRTM(Х)2-00 (D)PBR.G, 
Трансформатор тока нулевой последовательности: ТЗЛМ-1</v>
      </c>
      <c r="C4" s="106">
        <v>0</v>
      </c>
      <c r="D4" s="104">
        <f>расчет!E35</f>
        <v>636183</v>
      </c>
      <c r="E4" s="104">
        <f t="shared" si="0"/>
        <v>1272366</v>
      </c>
      <c r="F4" s="104">
        <f>расчет!E34</f>
        <v>409844</v>
      </c>
      <c r="G4" s="104">
        <f t="shared" ref="G4:G12" si="1">F4*C4</f>
        <v>819688</v>
      </c>
      <c r="K4"/>
      <c r="L4"/>
    </row>
    <row r="5" spans="1:10" ht="98.25" customHeight="1">
      <c r="A5" s="6"/>
      <c r="B5" s="103" t="str">
        <f>IF('КСО-204'!F15="","",расчет!G36)</f>
        <v>КСО-204 сх7ВВ-Ввод, 
Шинный разъединитель: РВФЗ-10/1000, 
Вакуумный выключатель: VM12-10-20/1000, 
Блок управления: CVM 1.2 ВЕАШ468389.001-01, 
Микропроцессорная защита: АГАТ 200. АВ, 
Трансформаторы тока: 3хТПЛ-10 1000/5 0,5S/10P, 
Линейный разъединитель: РВЗ-10/1000, 
Прибор учёта: Меркурий 234 АRTM(Х)2-00 (D)PBR.G, 
Ограничитель перенапряжения: 3хОПН-П-6/7.2/10/550</v>
      </c>
      <c r="C5" s="106">
        <v>0</v>
      </c>
      <c r="D5" s="104">
        <f>расчет!G35</f>
        <v>645846</v>
      </c>
      <c r="E5" s="104">
        <f t="shared" si="0"/>
        <v>1291692</v>
      </c>
      <c r="F5" s="104">
        <f>расчет!G34</f>
        <v>418628</v>
      </c>
      <c r="G5" s="104">
        <f t="shared" si="1"/>
        <v>837256</v>
      </c>
      <c r="K5"/>
      <c r="L5"/>
    </row>
    <row r="6" spans="1:10" ht="98.25" customHeight="1">
      <c r="A6" s="6"/>
      <c r="B6" s="103" t="str">
        <f>IF('КСО-204'!G15="","",расчет!I36)</f>
        <v>КСО-204 сх15-400-ТСН, 
Шинный разъединитель: РВФЗ-10/1000, 
Трансформатор собственных нужд: ТЛС-25, 
3хПатрон ПТ</v>
      </c>
      <c r="C6" s="106">
        <v>0</v>
      </c>
      <c r="D6" s="104">
        <f>расчет!I35</f>
        <v>504607</v>
      </c>
      <c r="E6" s="104">
        <f t="shared" si="0"/>
        <v>1009214</v>
      </c>
      <c r="F6" s="104">
        <f>расчет!I34</f>
        <v>296723</v>
      </c>
      <c r="G6" s="104">
        <f t="shared" si="1"/>
        <v>593446</v>
      </c>
      <c r="K6"/>
      <c r="L6"/>
    </row>
    <row r="7" spans="1:10" ht="98.25" customHeight="1">
      <c r="A7" s="6"/>
      <c r="B7" s="103" t="str">
        <f>IF('КСО-204'!H15="","",расчет!K36)</f>
        <v>КСО-204 сх13-400-ТН, 
Шинный разъединитель: РВФЗ-10/1000, 
Микропроцессорная защита: АГАТ 200. В, 
Линейный разъединитель: ЗР-10, 
Трансформатор напряжения: НАМИТ-6, 
Ограничитель перенапряжения: 3хОПН-П-6/7.2/10/550</v>
      </c>
      <c r="C7" s="106">
        <v>0</v>
      </c>
      <c r="D7" s="104">
        <f>расчет!K35</f>
        <v>446484</v>
      </c>
      <c r="E7" s="104">
        <f t="shared" si="0"/>
        <v>892968</v>
      </c>
      <c r="F7" s="104">
        <f>расчет!K34</f>
        <v>262545</v>
      </c>
      <c r="G7" s="104">
        <f t="shared" si="1"/>
        <v>525090</v>
      </c>
      <c r="K7"/>
      <c r="L7"/>
    </row>
    <row r="8" spans="1:10" ht="98.25" customHeight="1">
      <c r="A8" s="6"/>
      <c r="B8" s="103" t="str">
        <f>IF('КСО-204'!I15="","",расчет!M36)</f>
        <v>КСО-204 сх3ВВ-СВ, 
Шинный разъединитель: РВФЗ-10/1000, 
Вакуумный выключатель: VM12-10-20/1000, 
Блок управления: CVM 1.2 ВЕАШ468389.001-01, 
Микропроцессорная защита: АГАТ 200. АВ, 
Трансформаторы тока: 3хТПЛ-10 800/5 0,5S/10P</v>
      </c>
      <c r="C8" s="106">
        <v>0</v>
      </c>
      <c r="D8" s="104">
        <f>расчет!M35</f>
        <v>597437</v>
      </c>
      <c r="E8" s="104">
        <f t="shared" si="0"/>
        <v>597437</v>
      </c>
      <c r="F8" s="104">
        <f>расчет!M34</f>
        <v>374620</v>
      </c>
      <c r="G8" s="104">
        <f t="shared" si="1"/>
        <v>374620</v>
      </c>
      <c r="K8"/>
      <c r="L8"/>
    </row>
    <row r="9" spans="1:10" ht="98.25" customHeight="1">
      <c r="A9" s="6"/>
      <c r="B9" s="103" t="str">
        <f>IF('КСО-204'!J15="","",расчет!O36)</f>
        <v>КСО-204 сх24-1000-СР, 
Шинный разъединитель: РВФЗ-10/1000</v>
      </c>
      <c r="C9" s="106">
        <v>0</v>
      </c>
      <c r="D9" s="104">
        <f>расчет!O35</f>
        <v>135526</v>
      </c>
      <c r="E9" s="104">
        <f t="shared" si="0"/>
        <v>135526</v>
      </c>
      <c r="F9" s="104">
        <f>расчет!O34</f>
        <v>79693</v>
      </c>
      <c r="G9" s="104">
        <f t="shared" si="1"/>
        <v>79693</v>
      </c>
      <c r="K9"/>
      <c r="L9"/>
    </row>
    <row r="10" spans="1:10" ht="98.25" customHeight="1">
      <c r="A10" s="6"/>
      <c r="B10" s="103" t="str">
        <f>IF('КСО-204'!K15="","",расчет!Q36)</f>
        <v/>
      </c>
      <c r="C10" s="106">
        <v>0</v>
      </c>
      <c r="D10" s="104">
        <f>расчет!Q35</f>
        <v>0</v>
      </c>
      <c r="E10" s="104">
        <f t="shared" si="0"/>
        <v>0</v>
      </c>
      <c r="F10" s="104">
        <f>расчет!Q34</f>
        <v>0</v>
      </c>
      <c r="G10" s="104">
        <f t="shared" si="1"/>
        <v>0</v>
      </c>
      <c r="K10"/>
      <c r="L10"/>
    </row>
    <row r="11" spans="1:10" ht="98.25" customHeight="1">
      <c r="A11" s="6"/>
      <c r="B11" s="103" t="str">
        <f>IF('КСО-204'!L15="","",расчет!S36)</f>
        <v/>
      </c>
      <c r="C11" s="106">
        <v>0</v>
      </c>
      <c r="D11" s="104">
        <f>расчет!S35</f>
        <v>0</v>
      </c>
      <c r="E11" s="104">
        <f t="shared" si="0"/>
        <v>0</v>
      </c>
      <c r="F11" s="104">
        <f>расчет!S34</f>
        <v>0</v>
      </c>
      <c r="G11" s="104">
        <f t="shared" si="1"/>
        <v>0</v>
      </c>
      <c r="K11"/>
      <c r="L11"/>
    </row>
    <row r="12" spans="1:10" s="7" customFormat="1" ht="98.25" customHeight="1">
      <c r="A12" s="6"/>
      <c r="B12" s="105" t="str">
        <f>IF('КСО-204'!M15="","",расчет!U36)</f>
        <v/>
      </c>
      <c r="C12" s="106">
        <v>0</v>
      </c>
      <c r="D12" s="104">
        <f>расчет!U35</f>
        <v>0</v>
      </c>
      <c r="E12" s="104">
        <f t="shared" si="0"/>
        <v>0</v>
      </c>
      <c r="F12" s="104">
        <f>расчет!U34</f>
        <v>0</v>
      </c>
      <c r="G12" s="104">
        <f t="shared" si="1"/>
        <v>0</v>
      </c>
      <c r="K12"/>
      <c r="L12"/>
    </row>
    <row r="13" spans="1:10" s="7" customFormat="1" ht="98.25" customHeight="1">
      <c r="A13"/>
      <c r="B13"/>
      <c r="C13">
        <f>SUM(C3:C12)</f>
        <v>14</v>
      </c>
      <c r="F13"/>
      <c r="G13" s="8">
        <f>SUM(G3:G12)</f>
        <v>4869169</v>
      </c>
    </row>
    <row r="14" spans="1:10" s="7" customFormat="1">
      <c r="A14"/>
      <c r="B14"/>
      <c r="C14"/>
      <c r="F14"/>
      <c r="G14"/>
    </row>
    <row r="15" spans="1:10" s="7" customFormat="1">
      <c r="A15"/>
      <c r="B15"/>
      <c r="C15"/>
      <c r="F15"/>
      <c r="G15"/>
    </row>
    <row r="16" spans="1:10" s="7" customFormat="1">
      <c r="A16"/>
      <c r="B16"/>
      <c r="C16"/>
      <c r="F16"/>
      <c r="G16"/>
    </row>
    <row r="17" spans="1:7" s="7" customFormat="1">
      <c r="A17"/>
      <c r="B17"/>
      <c r="C17"/>
    </row>
    <row r="18" spans="1:7" s="7" customFormat="1">
      <c r="A18"/>
      <c r="B18"/>
      <c r="C18"/>
      <c r="F18"/>
      <c r="G18"/>
    </row>
    <row r="19" spans="1:7">
      <c r="C19" s="106">
        <f t="shared" ref="C19" si="3">IF(B19="",0,1)</f>
        <v>0</v>
      </c>
    </row>
  </sheetData>
  <customSheetViews>
    <customSheetView guid="{5008E907-E9F5-42FE-974D-2675828E0EC3}">
      <selection activeCell="G10" sqref="G10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:EY150"/>
  <sheetViews>
    <sheetView workbookViewId="0">
      <selection activeCell="CS63" sqref="CS63"/>
    </sheetView>
  </sheetViews>
  <sheetFormatPr defaultRowHeight="12.75"/>
  <cols>
    <col min="1" max="1" width="6.7109375" customWidth="1"/>
    <col min="2" max="2" width="34.140625" customWidth="1"/>
    <col min="3" max="3" width="12" style="13" customWidth="1"/>
    <col min="4" max="4" width="10.28515625" style="12" customWidth="1"/>
    <col min="5" max="8" width="8.5703125" style="12" customWidth="1"/>
    <col min="9" max="9" width="12.7109375" style="12" customWidth="1"/>
    <col min="10" max="10" width="2.28515625" customWidth="1"/>
    <col min="11" max="11" width="6.7109375" customWidth="1"/>
    <col min="12" max="12" width="23.28515625" customWidth="1"/>
    <col min="13" max="13" width="12" style="14" customWidth="1"/>
    <col min="14" max="14" width="10.28515625" style="12" customWidth="1"/>
    <col min="15" max="15" width="13.7109375" style="12" customWidth="1"/>
    <col min="16" max="20" width="12.7109375" style="12" customWidth="1"/>
    <col min="21" max="21" width="2" style="12" customWidth="1"/>
    <col min="22" max="22" width="10.28515625" style="12" customWidth="1"/>
    <col min="23" max="23" width="14.85546875" style="12" customWidth="1"/>
    <col min="24" max="24" width="12" style="14" customWidth="1"/>
    <col min="25" max="25" width="10.28515625" style="12" customWidth="1"/>
    <col min="26" max="29" width="12.42578125" style="12" customWidth="1"/>
    <col min="30" max="30" width="12.7109375" style="12" customWidth="1"/>
    <col min="31" max="31" width="1.85546875" customWidth="1"/>
    <col min="32" max="32" width="6.7109375" style="16" customWidth="1"/>
    <col min="33" max="33" width="67.42578125" customWidth="1"/>
    <col min="34" max="34" width="12" style="14" customWidth="1"/>
    <col min="35" max="35" width="10.28515625" style="12" customWidth="1"/>
    <col min="36" max="37" width="12.42578125" style="12" customWidth="1"/>
    <col min="38" max="39" width="8.5703125" style="12" customWidth="1"/>
    <col min="40" max="40" width="12.7109375" style="12" customWidth="1"/>
    <col min="41" max="41" width="1.5703125" customWidth="1"/>
    <col min="42" max="42" width="6.7109375" style="16" customWidth="1"/>
    <col min="43" max="43" width="19.140625" customWidth="1"/>
    <col min="44" max="44" width="12" style="14" customWidth="1"/>
    <col min="45" max="45" width="10.28515625" style="12" customWidth="1"/>
    <col min="46" max="46" width="13.7109375" style="12" customWidth="1"/>
    <col min="47" max="47" width="1" customWidth="1"/>
    <col min="48" max="48" width="6.7109375" style="16" customWidth="1"/>
    <col min="49" max="49" width="41.140625" customWidth="1"/>
    <col min="50" max="50" width="18.42578125" style="14" customWidth="1"/>
    <col min="51" max="51" width="10.28515625" style="12" customWidth="1"/>
    <col min="52" max="52" width="13.7109375" style="12" customWidth="1"/>
    <col min="53" max="53" width="2" customWidth="1"/>
    <col min="54" max="54" width="6.7109375" style="16" customWidth="1"/>
    <col min="55" max="55" width="27.140625" style="17" customWidth="1"/>
    <col min="56" max="56" width="12" style="13" customWidth="1"/>
    <col min="57" max="57" width="10.28515625" style="12" customWidth="1"/>
    <col min="58" max="58" width="1.5703125" customWidth="1"/>
    <col min="59" max="59" width="10.28515625" customWidth="1"/>
    <col min="60" max="60" width="10.5703125" customWidth="1"/>
    <col min="61" max="61" width="13" style="13" customWidth="1"/>
    <col min="62" max="62" width="10.28515625" style="12" customWidth="1"/>
    <col min="63" max="64" width="12.42578125" style="12" customWidth="1"/>
    <col min="65" max="66" width="8.5703125" style="12" customWidth="1"/>
    <col min="67" max="67" width="12.7109375" style="12" customWidth="1"/>
    <col min="68" max="68" width="2" customWidth="1"/>
    <col min="69" max="69" width="6.7109375" customWidth="1"/>
    <col min="70" max="70" width="67.42578125" customWidth="1"/>
    <col min="71" max="71" width="12" style="14" customWidth="1"/>
    <col min="72" max="72" width="10.28515625" style="12" customWidth="1"/>
    <col min="73" max="74" width="12.42578125" style="12" customWidth="1"/>
    <col min="75" max="76" width="8.5703125" style="12" customWidth="1"/>
    <col min="77" max="77" width="12.7109375" style="12" customWidth="1"/>
    <col min="78" max="78" width="2.140625" customWidth="1"/>
    <col min="79" max="79" width="6.7109375" customWidth="1"/>
    <col min="80" max="80" width="40.5703125" customWidth="1"/>
    <col min="81" max="81" width="9.140625" customWidth="1"/>
    <col min="82" max="82" width="10.28515625" customWidth="1"/>
    <col min="83" max="83" width="21.140625" customWidth="1"/>
    <col min="84" max="84" width="1.5703125" customWidth="1"/>
    <col min="85" max="85" width="6.7109375" customWidth="1"/>
    <col min="86" max="86" width="81.140625" customWidth="1"/>
    <col min="87" max="87" width="9.140625" customWidth="1"/>
    <col min="88" max="88" width="10.28515625" customWidth="1"/>
    <col min="89" max="89" width="13.7109375" customWidth="1"/>
    <col min="90" max="94" width="12.7109375" customWidth="1"/>
    <col min="95" max="95" width="2" customWidth="1"/>
    <col min="96" max="96" width="6.7109375" customWidth="1"/>
    <col min="97" max="97" width="30.85546875" customWidth="1"/>
    <col min="98" max="98" width="12.140625" customWidth="1"/>
    <col min="99" max="99" width="10.28515625" customWidth="1"/>
    <col min="101" max="101" width="6.7109375" customWidth="1"/>
    <col min="102" max="102" width="41.140625" customWidth="1"/>
    <col min="103" max="103" width="10.42578125" customWidth="1"/>
    <col min="104" max="104" width="9.140625" customWidth="1"/>
    <col min="105" max="105" width="10.28515625" customWidth="1"/>
    <col min="107" max="107" width="12.85546875" bestFit="1" customWidth="1"/>
    <col min="108" max="108" width="12.28515625" bestFit="1" customWidth="1"/>
    <col min="109" max="109" width="6.7109375" customWidth="1"/>
    <col min="110" max="110" width="12.28515625" customWidth="1"/>
    <col min="111" max="111" width="12.85546875" customWidth="1"/>
    <col min="112" max="112" width="10.5703125" customWidth="1"/>
    <col min="113" max="113" width="7.85546875" customWidth="1"/>
    <col min="114" max="114" width="10.28515625" customWidth="1"/>
    <col min="116" max="116" width="6.7109375" customWidth="1"/>
    <col min="117" max="117" width="12.7109375" customWidth="1"/>
    <col min="118" max="118" width="9.85546875" customWidth="1"/>
    <col min="119" max="119" width="11.85546875" customWidth="1"/>
    <col min="120" max="120" width="14.7109375" customWidth="1"/>
    <col min="121" max="121" width="19.7109375" customWidth="1"/>
    <col min="122" max="122" width="40.5703125" customWidth="1"/>
    <col min="123" max="123" width="5.7109375" customWidth="1"/>
    <col min="124" max="124" width="16.28515625" customWidth="1"/>
    <col min="125" max="125" width="8.85546875" customWidth="1"/>
    <col min="126" max="126" width="19.85546875" customWidth="1"/>
    <col min="127" max="127" width="19.7109375" customWidth="1"/>
    <col min="128" max="128" width="15.7109375" customWidth="1"/>
    <col min="129" max="129" width="20.85546875" customWidth="1"/>
    <col min="130" max="130" width="12.5703125" customWidth="1"/>
    <col min="131" max="131" width="12" customWidth="1"/>
    <col min="132" max="132" width="18.85546875" customWidth="1"/>
    <col min="133" max="133" width="12.42578125" customWidth="1"/>
    <col min="134" max="134" width="7.5703125" customWidth="1"/>
    <col min="136" max="136" width="6.7109375" customWidth="1"/>
    <col min="137" max="137" width="15.85546875" customWidth="1"/>
    <col min="138" max="138" width="8.140625" customWidth="1"/>
    <col min="139" max="139" width="10.28515625" customWidth="1"/>
    <col min="146" max="146" width="9.140625" customWidth="1"/>
  </cols>
  <sheetData>
    <row r="1" spans="1:155">
      <c r="A1" s="9" t="s">
        <v>6</v>
      </c>
      <c r="B1" s="10" t="s">
        <v>28</v>
      </c>
      <c r="K1" s="9" t="s">
        <v>3</v>
      </c>
      <c r="L1" s="11"/>
      <c r="V1" s="9" t="s">
        <v>7</v>
      </c>
      <c r="W1" s="11"/>
      <c r="AE1" s="12"/>
      <c r="AF1" s="15" t="s">
        <v>0</v>
      </c>
      <c r="AG1" s="12"/>
      <c r="AO1" s="12"/>
      <c r="AP1" s="15" t="s">
        <v>5</v>
      </c>
      <c r="AQ1" s="12"/>
      <c r="AU1" s="12"/>
      <c r="AV1" s="15" t="s">
        <v>4</v>
      </c>
      <c r="AW1" s="12"/>
      <c r="BB1" s="15" t="s">
        <v>8</v>
      </c>
      <c r="BG1" s="9" t="s">
        <v>17</v>
      </c>
      <c r="BQ1" s="9" t="s">
        <v>0</v>
      </c>
      <c r="CA1" s="10"/>
      <c r="CB1" s="1"/>
      <c r="EX1">
        <v>211</v>
      </c>
    </row>
    <row r="2" spans="1:155" ht="15.75" thickBot="1">
      <c r="A2" s="28" t="s">
        <v>230</v>
      </c>
      <c r="B2" s="29" t="s">
        <v>29</v>
      </c>
      <c r="C2" s="30" t="s">
        <v>232</v>
      </c>
      <c r="D2" s="31" t="s">
        <v>233</v>
      </c>
      <c r="E2" s="31" t="s">
        <v>441</v>
      </c>
      <c r="F2" s="31" t="s">
        <v>442</v>
      </c>
      <c r="G2" s="31" t="s">
        <v>443</v>
      </c>
      <c r="H2" s="31" t="s">
        <v>444</v>
      </c>
      <c r="I2" s="31" t="s">
        <v>445</v>
      </c>
      <c r="K2" s="28" t="s">
        <v>230</v>
      </c>
      <c r="L2" s="40" t="s">
        <v>811</v>
      </c>
      <c r="M2" s="41" t="s">
        <v>232</v>
      </c>
      <c r="N2" s="31" t="s">
        <v>233</v>
      </c>
      <c r="O2" s="31" t="s">
        <v>440</v>
      </c>
      <c r="P2" s="31" t="s">
        <v>441</v>
      </c>
      <c r="Q2" s="31" t="s">
        <v>442</v>
      </c>
      <c r="R2" s="31" t="s">
        <v>443</v>
      </c>
      <c r="S2" s="31" t="s">
        <v>444</v>
      </c>
      <c r="T2" s="31" t="s">
        <v>445</v>
      </c>
      <c r="V2" s="128" t="s">
        <v>230</v>
      </c>
      <c r="W2" s="128" t="s">
        <v>248</v>
      </c>
      <c r="X2" s="14" t="s">
        <v>786</v>
      </c>
      <c r="Y2" s="128" t="s">
        <v>233</v>
      </c>
      <c r="Z2" s="128" t="s">
        <v>441</v>
      </c>
      <c r="AA2" s="128" t="s">
        <v>442</v>
      </c>
      <c r="AB2" s="128" t="s">
        <v>443</v>
      </c>
      <c r="AC2" s="128" t="s">
        <v>444</v>
      </c>
      <c r="AD2" s="128" t="s">
        <v>445</v>
      </c>
      <c r="AE2" s="12"/>
      <c r="AF2" s="16" t="s">
        <v>230</v>
      </c>
      <c r="AG2" s="128" t="s">
        <v>0</v>
      </c>
      <c r="AH2" s="14" t="s">
        <v>14</v>
      </c>
      <c r="AI2" s="128" t="s">
        <v>233</v>
      </c>
      <c r="AJ2" s="128" t="s">
        <v>441</v>
      </c>
      <c r="AK2" s="128" t="s">
        <v>442</v>
      </c>
      <c r="AL2" s="128" t="s">
        <v>443</v>
      </c>
      <c r="AM2" s="128" t="s">
        <v>444</v>
      </c>
      <c r="AN2" s="128" t="s">
        <v>445</v>
      </c>
      <c r="AO2" s="12"/>
      <c r="AP2" s="16" t="s">
        <v>230</v>
      </c>
      <c r="AQ2" s="128" t="s">
        <v>5</v>
      </c>
      <c r="AR2" s="14" t="s">
        <v>232</v>
      </c>
      <c r="AS2" s="128" t="s">
        <v>233</v>
      </c>
      <c r="AT2" s="128" t="s">
        <v>440</v>
      </c>
      <c r="AU2" s="12"/>
      <c r="AV2" s="16" t="s">
        <v>230</v>
      </c>
      <c r="AW2" s="128" t="s">
        <v>4</v>
      </c>
      <c r="AX2" s="14" t="s">
        <v>232</v>
      </c>
      <c r="AY2" s="128" t="s">
        <v>233</v>
      </c>
      <c r="AZ2" s="128" t="s">
        <v>440</v>
      </c>
      <c r="BA2" s="12"/>
      <c r="BB2" s="16" t="s">
        <v>230</v>
      </c>
      <c r="BC2" s="17" t="s">
        <v>30</v>
      </c>
      <c r="BD2" s="13" t="s">
        <v>14</v>
      </c>
      <c r="BE2" s="128" t="s">
        <v>31</v>
      </c>
      <c r="BF2" s="12"/>
      <c r="BG2" s="128" t="s">
        <v>230</v>
      </c>
      <c r="BH2" s="128" t="s">
        <v>17</v>
      </c>
      <c r="BI2" s="13" t="s">
        <v>232</v>
      </c>
      <c r="BJ2" s="128" t="s">
        <v>233</v>
      </c>
      <c r="BK2" s="128" t="s">
        <v>441</v>
      </c>
      <c r="BL2" s="128" t="s">
        <v>442</v>
      </c>
      <c r="BM2" s="128" t="s">
        <v>443</v>
      </c>
      <c r="BN2" s="128" t="s">
        <v>444</v>
      </c>
      <c r="BO2" s="128" t="s">
        <v>445</v>
      </c>
      <c r="BQ2" t="s">
        <v>230</v>
      </c>
      <c r="BR2" t="s">
        <v>0</v>
      </c>
      <c r="BS2" s="14" t="s">
        <v>14</v>
      </c>
      <c r="BT2" s="128" t="s">
        <v>233</v>
      </c>
      <c r="BU2" s="128" t="s">
        <v>441</v>
      </c>
      <c r="BV2" s="128" t="s">
        <v>442</v>
      </c>
      <c r="BW2" s="128" t="s">
        <v>443</v>
      </c>
      <c r="BX2" s="128" t="s">
        <v>444</v>
      </c>
      <c r="BY2" s="128" t="s">
        <v>445</v>
      </c>
      <c r="BZ2" s="1"/>
      <c r="CA2" t="s">
        <v>230</v>
      </c>
      <c r="CB2" t="s">
        <v>563</v>
      </c>
      <c r="CC2" t="s">
        <v>14</v>
      </c>
      <c r="CD2" t="s">
        <v>31</v>
      </c>
      <c r="CE2" t="s">
        <v>564</v>
      </c>
      <c r="CG2" t="s">
        <v>230</v>
      </c>
      <c r="CH2" t="s">
        <v>439</v>
      </c>
      <c r="CI2" t="s">
        <v>232</v>
      </c>
      <c r="CJ2" t="s">
        <v>233</v>
      </c>
      <c r="CK2" t="s">
        <v>440</v>
      </c>
      <c r="CL2" t="s">
        <v>441</v>
      </c>
      <c r="CM2" t="s">
        <v>442</v>
      </c>
      <c r="CN2" t="s">
        <v>443</v>
      </c>
      <c r="CO2" t="s">
        <v>444</v>
      </c>
      <c r="CP2" t="s">
        <v>445</v>
      </c>
      <c r="CR2" t="s">
        <v>230</v>
      </c>
      <c r="CS2" t="s">
        <v>369</v>
      </c>
      <c r="CT2" t="s">
        <v>232</v>
      </c>
      <c r="CU2" t="s">
        <v>233</v>
      </c>
      <c r="CW2" t="s">
        <v>230</v>
      </c>
      <c r="CX2" t="s">
        <v>295</v>
      </c>
      <c r="CY2" t="s">
        <v>296</v>
      </c>
      <c r="CZ2" t="s">
        <v>14</v>
      </c>
      <c r="DA2" t="s">
        <v>31</v>
      </c>
      <c r="DC2" s="94" t="s">
        <v>90</v>
      </c>
      <c r="DE2" t="s">
        <v>230</v>
      </c>
      <c r="DF2" t="s">
        <v>247</v>
      </c>
      <c r="DG2" t="s">
        <v>292</v>
      </c>
      <c r="DH2" t="s">
        <v>293</v>
      </c>
      <c r="DI2" t="s">
        <v>14</v>
      </c>
      <c r="DJ2" t="s">
        <v>31</v>
      </c>
      <c r="DL2" t="s">
        <v>230</v>
      </c>
      <c r="DM2" t="s">
        <v>238</v>
      </c>
      <c r="DN2" t="s">
        <v>239</v>
      </c>
      <c r="DO2" t="s">
        <v>240</v>
      </c>
      <c r="DP2" t="s">
        <v>241</v>
      </c>
      <c r="DQ2" t="s">
        <v>242</v>
      </c>
      <c r="DR2" t="s">
        <v>243</v>
      </c>
      <c r="DS2" t="s">
        <v>30</v>
      </c>
      <c r="DT2" t="s">
        <v>4</v>
      </c>
      <c r="DU2" t="s">
        <v>244</v>
      </c>
      <c r="DV2" t="s">
        <v>29</v>
      </c>
      <c r="DW2" t="s">
        <v>245</v>
      </c>
      <c r="DX2" t="s">
        <v>246</v>
      </c>
      <c r="DY2" t="s">
        <v>0</v>
      </c>
      <c r="DZ2" t="s">
        <v>17</v>
      </c>
      <c r="EA2" t="s">
        <v>247</v>
      </c>
      <c r="EB2" t="s">
        <v>5</v>
      </c>
      <c r="EC2" t="s">
        <v>248</v>
      </c>
      <c r="ED2" t="s">
        <v>90</v>
      </c>
      <c r="EF2" t="s">
        <v>230</v>
      </c>
      <c r="EG2" t="s">
        <v>231</v>
      </c>
      <c r="EH2" t="s">
        <v>232</v>
      </c>
      <c r="EI2" t="s">
        <v>233</v>
      </c>
      <c r="EK2" s="113" t="s">
        <v>99</v>
      </c>
      <c r="EL2" s="113" t="s">
        <v>100</v>
      </c>
      <c r="EM2" s="113" t="s">
        <v>101</v>
      </c>
      <c r="EN2" s="113" t="s">
        <v>99</v>
      </c>
      <c r="EO2" s="113" t="s">
        <v>102</v>
      </c>
      <c r="EQ2" s="113" t="s">
        <v>99</v>
      </c>
      <c r="ER2" s="113" t="s">
        <v>103</v>
      </c>
      <c r="ES2" s="113" t="s">
        <v>101</v>
      </c>
      <c r="ET2" s="113" t="s">
        <v>99</v>
      </c>
      <c r="EU2" s="113" t="s">
        <v>102</v>
      </c>
      <c r="EW2" s="117" t="s">
        <v>112</v>
      </c>
      <c r="EX2" s="117" t="s">
        <v>112</v>
      </c>
      <c r="EY2" s="117">
        <v>1600</v>
      </c>
    </row>
    <row r="3" spans="1:155" ht="13.5" thickTop="1">
      <c r="A3" s="32">
        <v>81</v>
      </c>
      <c r="B3" s="5" t="s">
        <v>837</v>
      </c>
      <c r="C3" s="33">
        <v>25800</v>
      </c>
      <c r="D3" s="34">
        <v>45614</v>
      </c>
      <c r="E3" s="99"/>
      <c r="F3" s="99"/>
      <c r="G3" s="99"/>
      <c r="H3" s="99"/>
      <c r="I3" s="99"/>
      <c r="J3" s="12"/>
      <c r="K3" s="32">
        <v>1</v>
      </c>
      <c r="L3" s="42" t="s">
        <v>250</v>
      </c>
      <c r="M3" s="43">
        <v>17670</v>
      </c>
      <c r="N3" s="34">
        <v>45680</v>
      </c>
      <c r="O3" s="99">
        <v>1</v>
      </c>
      <c r="P3" s="99" t="s">
        <v>812</v>
      </c>
      <c r="Q3" s="99" t="s">
        <v>813</v>
      </c>
      <c r="R3" s="99"/>
      <c r="S3" s="99"/>
      <c r="T3" s="99" t="s">
        <v>73</v>
      </c>
      <c r="V3" s="45">
        <v>1</v>
      </c>
      <c r="W3" s="45" t="s">
        <v>787</v>
      </c>
      <c r="X3" s="43">
        <v>3450</v>
      </c>
      <c r="Y3" s="45">
        <v>45572</v>
      </c>
      <c r="Z3" s="107" t="s">
        <v>788</v>
      </c>
      <c r="AA3" s="107" t="s">
        <v>789</v>
      </c>
      <c r="AB3" s="107" t="s">
        <v>790</v>
      </c>
      <c r="AC3" s="107" t="s">
        <v>791</v>
      </c>
      <c r="AD3" s="107" t="s">
        <v>73</v>
      </c>
      <c r="AE3" s="12"/>
      <c r="AF3" s="46">
        <v>9</v>
      </c>
      <c r="AG3" s="45" t="s">
        <v>214</v>
      </c>
      <c r="AH3" s="43">
        <v>96400</v>
      </c>
      <c r="AI3" s="45">
        <v>44301</v>
      </c>
      <c r="AJ3" s="99"/>
      <c r="AK3" s="99"/>
      <c r="AL3" s="99"/>
      <c r="AM3" s="99"/>
      <c r="AN3" s="99" t="s">
        <v>73</v>
      </c>
      <c r="AO3" s="12"/>
      <c r="AP3" s="46">
        <v>1</v>
      </c>
      <c r="AQ3" s="45" t="s">
        <v>770</v>
      </c>
      <c r="AR3" s="43">
        <v>4752</v>
      </c>
      <c r="AS3" s="45">
        <v>45313</v>
      </c>
      <c r="AT3" s="99">
        <v>1</v>
      </c>
      <c r="AU3" s="12"/>
      <c r="AV3" s="46">
        <v>13</v>
      </c>
      <c r="AW3" s="5" t="s">
        <v>676</v>
      </c>
      <c r="AX3" s="43">
        <v>16400</v>
      </c>
      <c r="AY3" s="45">
        <v>43518</v>
      </c>
      <c r="AZ3" s="99">
        <v>1</v>
      </c>
      <c r="BA3" s="12"/>
      <c r="BB3" s="46">
        <v>5</v>
      </c>
      <c r="BC3" s="47" t="s">
        <v>664</v>
      </c>
      <c r="BD3" s="33">
        <v>42560</v>
      </c>
      <c r="BE3" s="45">
        <v>45826</v>
      </c>
      <c r="BF3" s="12"/>
      <c r="BG3" s="45">
        <v>17</v>
      </c>
      <c r="BH3" s="45" t="s">
        <v>663</v>
      </c>
      <c r="BI3" s="33">
        <v>39432</v>
      </c>
      <c r="BJ3" s="45">
        <v>45614</v>
      </c>
      <c r="BK3" s="99"/>
      <c r="BL3" s="99"/>
      <c r="BM3" s="99"/>
      <c r="BN3" s="99"/>
      <c r="BO3" s="99"/>
      <c r="BQ3" s="5">
        <v>9</v>
      </c>
      <c r="BR3" s="5" t="s">
        <v>214</v>
      </c>
      <c r="BS3" s="43">
        <v>96400</v>
      </c>
      <c r="BT3" s="45">
        <v>44301</v>
      </c>
      <c r="BU3" s="99"/>
      <c r="BV3" s="99"/>
      <c r="BW3" s="99"/>
      <c r="BX3" s="99"/>
      <c r="BY3" s="99" t="s">
        <v>73</v>
      </c>
      <c r="BZ3" s="1"/>
      <c r="CA3" s="5">
        <v>90</v>
      </c>
      <c r="CB3" s="5" t="s">
        <v>565</v>
      </c>
      <c r="CC3" s="5">
        <v>183040</v>
      </c>
      <c r="CD3" s="45">
        <v>45826</v>
      </c>
      <c r="CE3" s="91" t="s">
        <v>566</v>
      </c>
      <c r="CG3" s="5">
        <v>69</v>
      </c>
      <c r="CH3" s="5" t="s">
        <v>519</v>
      </c>
      <c r="CI3" s="5">
        <v>13871</v>
      </c>
      <c r="CJ3" s="45">
        <v>42363</v>
      </c>
      <c r="CK3" s="91">
        <v>2</v>
      </c>
      <c r="CL3" s="91"/>
      <c r="CM3" s="91"/>
      <c r="CN3" s="91"/>
      <c r="CO3" s="91"/>
      <c r="CP3" s="91" t="s">
        <v>448</v>
      </c>
      <c r="CR3">
        <v>2</v>
      </c>
      <c r="CS3" t="s">
        <v>370</v>
      </c>
      <c r="CT3">
        <v>42986.474999999999</v>
      </c>
      <c r="CU3" s="12">
        <v>45736</v>
      </c>
      <c r="CW3">
        <v>22</v>
      </c>
      <c r="CX3" t="s">
        <v>314</v>
      </c>
      <c r="CY3">
        <v>5</v>
      </c>
      <c r="CZ3">
        <v>35203</v>
      </c>
      <c r="DA3" s="12">
        <v>42432</v>
      </c>
      <c r="DC3" s="95">
        <v>48963</v>
      </c>
      <c r="DE3">
        <v>1</v>
      </c>
      <c r="DF3" t="s">
        <v>260</v>
      </c>
      <c r="DH3" s="12"/>
      <c r="DI3">
        <v>3030</v>
      </c>
      <c r="DJ3" s="12">
        <v>44638</v>
      </c>
      <c r="DL3">
        <v>1</v>
      </c>
      <c r="DM3">
        <v>1</v>
      </c>
      <c r="DN3" t="s">
        <v>116</v>
      </c>
      <c r="DO3" t="s">
        <v>15</v>
      </c>
      <c r="DP3" t="s">
        <v>249</v>
      </c>
      <c r="DQ3" t="s">
        <v>250</v>
      </c>
      <c r="DR3" t="s">
        <v>251</v>
      </c>
      <c r="DT3" t="s">
        <v>252</v>
      </c>
      <c r="DU3">
        <v>2</v>
      </c>
      <c r="DV3" t="s">
        <v>253</v>
      </c>
      <c r="EC3" t="s">
        <v>254</v>
      </c>
      <c r="EF3">
        <v>1</v>
      </c>
      <c r="EG3" t="s">
        <v>234</v>
      </c>
      <c r="EH3">
        <v>350</v>
      </c>
      <c r="EI3" s="109">
        <v>45966</v>
      </c>
      <c r="EK3" s="114">
        <v>400</v>
      </c>
      <c r="EL3" s="115" t="s">
        <v>107</v>
      </c>
      <c r="EM3" s="115">
        <v>1.08</v>
      </c>
      <c r="EN3" s="114">
        <f t="shared" ref="EN3:EN5" si="0">EK3</f>
        <v>400</v>
      </c>
      <c r="EO3" s="116">
        <f t="shared" ref="EO3:EO5" si="1">ROUND($EH$4*EM3*$EH$6,0)</f>
        <v>1319</v>
      </c>
      <c r="EP3" t="s">
        <v>104</v>
      </c>
      <c r="EQ3" s="114">
        <v>400</v>
      </c>
      <c r="ER3" s="114" t="s">
        <v>105</v>
      </c>
      <c r="ES3" s="114">
        <v>0.43</v>
      </c>
      <c r="ET3" s="114">
        <f t="shared" ref="ET3:ET5" si="2">EQ3</f>
        <v>400</v>
      </c>
      <c r="EU3" s="116">
        <f t="shared" ref="EU3:EU5" si="3">ROUND($EH$3*ES3*$EH$5,0)</f>
        <v>188</v>
      </c>
      <c r="EV3" t="s">
        <v>106</v>
      </c>
      <c r="EW3" s="117">
        <v>1</v>
      </c>
      <c r="EX3" s="117">
        <v>1</v>
      </c>
      <c r="EY3" s="117">
        <v>1</v>
      </c>
    </row>
    <row r="4" spans="1:155">
      <c r="A4" s="32">
        <v>82</v>
      </c>
      <c r="B4" s="5" t="s">
        <v>838</v>
      </c>
      <c r="C4" s="33">
        <v>25800</v>
      </c>
      <c r="D4" s="34">
        <v>45614</v>
      </c>
      <c r="E4" s="99"/>
      <c r="F4" s="99"/>
      <c r="G4" s="99"/>
      <c r="H4" s="99"/>
      <c r="I4" s="99"/>
      <c r="J4" s="12"/>
      <c r="K4" s="35">
        <v>2</v>
      </c>
      <c r="L4" s="5" t="s">
        <v>814</v>
      </c>
      <c r="M4" s="43">
        <v>22568</v>
      </c>
      <c r="N4" s="34">
        <v>45680</v>
      </c>
      <c r="O4" s="99">
        <v>1</v>
      </c>
      <c r="P4" s="99" t="s">
        <v>815</v>
      </c>
      <c r="Q4" s="99"/>
      <c r="R4" s="99"/>
      <c r="S4" s="99"/>
      <c r="T4" s="99" t="s">
        <v>73</v>
      </c>
      <c r="V4" s="45">
        <v>2</v>
      </c>
      <c r="W4" s="45" t="s">
        <v>792</v>
      </c>
      <c r="X4" s="43">
        <v>12810</v>
      </c>
      <c r="Y4" s="45">
        <v>42062</v>
      </c>
      <c r="Z4" s="45" t="s">
        <v>617</v>
      </c>
      <c r="AA4" s="45" t="s">
        <v>617</v>
      </c>
      <c r="AB4" s="45" t="s">
        <v>617</v>
      </c>
      <c r="AC4" s="45" t="s">
        <v>617</v>
      </c>
      <c r="AD4" s="45" t="s">
        <v>73</v>
      </c>
      <c r="AF4" s="46">
        <v>10</v>
      </c>
      <c r="AG4" s="5" t="s">
        <v>615</v>
      </c>
      <c r="AH4" s="43">
        <v>93300</v>
      </c>
      <c r="AI4" s="45">
        <v>44301</v>
      </c>
      <c r="AJ4" s="99"/>
      <c r="AK4" s="99"/>
      <c r="AL4" s="99"/>
      <c r="AM4" s="99"/>
      <c r="AN4" s="99" t="s">
        <v>73</v>
      </c>
      <c r="AP4" s="46">
        <v>2</v>
      </c>
      <c r="AQ4" s="5" t="s">
        <v>259</v>
      </c>
      <c r="AR4" s="43">
        <v>4752</v>
      </c>
      <c r="AS4" s="45">
        <v>45313</v>
      </c>
      <c r="AT4" s="99">
        <v>1</v>
      </c>
      <c r="AU4" s="12"/>
      <c r="AV4" s="46">
        <v>108</v>
      </c>
      <c r="AW4" s="5" t="s">
        <v>717</v>
      </c>
      <c r="AX4" s="43">
        <v>179071</v>
      </c>
      <c r="AY4" s="45">
        <v>45506</v>
      </c>
      <c r="AZ4" s="99">
        <v>2</v>
      </c>
      <c r="BB4" s="46">
        <v>6</v>
      </c>
      <c r="BC4" s="47" t="s">
        <v>665</v>
      </c>
      <c r="BD4" s="33">
        <v>49420</v>
      </c>
      <c r="BE4" s="45">
        <v>45826</v>
      </c>
      <c r="BG4" s="5">
        <v>13</v>
      </c>
      <c r="BH4" s="5" t="s">
        <v>658</v>
      </c>
      <c r="BI4" s="33">
        <v>41952</v>
      </c>
      <c r="BJ4" s="45">
        <v>45614</v>
      </c>
      <c r="BK4" s="99" t="s">
        <v>659</v>
      </c>
      <c r="BL4" s="99" t="s">
        <v>660</v>
      </c>
      <c r="BM4" s="99"/>
      <c r="BN4" s="99"/>
      <c r="BO4" s="99" t="s">
        <v>73</v>
      </c>
      <c r="BQ4" s="5">
        <v>10</v>
      </c>
      <c r="BR4" s="5" t="s">
        <v>615</v>
      </c>
      <c r="BS4" s="43">
        <v>93300</v>
      </c>
      <c r="BT4" s="45">
        <v>44301</v>
      </c>
      <c r="BU4" s="99"/>
      <c r="BV4" s="99"/>
      <c r="BW4" s="99"/>
      <c r="BX4" s="99"/>
      <c r="BY4" s="99" t="s">
        <v>73</v>
      </c>
      <c r="BZ4" s="1"/>
      <c r="CA4" s="5">
        <v>91</v>
      </c>
      <c r="CB4" s="5" t="s">
        <v>567</v>
      </c>
      <c r="CC4" s="5">
        <v>115000</v>
      </c>
      <c r="CD4" s="45">
        <v>41134</v>
      </c>
      <c r="CE4" s="91" t="s">
        <v>566</v>
      </c>
      <c r="CG4" s="5">
        <v>12</v>
      </c>
      <c r="CH4" s="5" t="s">
        <v>465</v>
      </c>
      <c r="CI4" s="5">
        <v>14542</v>
      </c>
      <c r="CJ4" s="45">
        <v>42363</v>
      </c>
      <c r="CK4" s="91">
        <v>2</v>
      </c>
      <c r="CL4" s="91"/>
      <c r="CM4" s="91"/>
      <c r="CN4" s="91"/>
      <c r="CO4" s="91"/>
      <c r="CP4" s="91" t="s">
        <v>448</v>
      </c>
      <c r="CR4">
        <v>4</v>
      </c>
      <c r="CS4" t="s">
        <v>371</v>
      </c>
      <c r="CT4">
        <v>37680</v>
      </c>
      <c r="CU4" s="12">
        <v>44301</v>
      </c>
      <c r="CW4">
        <v>20</v>
      </c>
      <c r="CX4" t="s">
        <v>312</v>
      </c>
      <c r="CY4">
        <v>5</v>
      </c>
      <c r="CZ4">
        <v>30923</v>
      </c>
      <c r="DA4" s="12">
        <v>42432</v>
      </c>
      <c r="DE4">
        <v>2</v>
      </c>
      <c r="DF4" t="s">
        <v>294</v>
      </c>
      <c r="DH4" s="12"/>
      <c r="DI4">
        <v>611.79</v>
      </c>
      <c r="DJ4" s="12">
        <v>41115</v>
      </c>
      <c r="DL4">
        <v>2</v>
      </c>
      <c r="DM4">
        <v>2</v>
      </c>
      <c r="DN4" t="s">
        <v>116</v>
      </c>
      <c r="DO4" t="s">
        <v>117</v>
      </c>
      <c r="DP4" t="s">
        <v>249</v>
      </c>
      <c r="DQ4" t="s">
        <v>250</v>
      </c>
      <c r="DR4" t="s">
        <v>251</v>
      </c>
      <c r="DT4" t="s">
        <v>252</v>
      </c>
      <c r="DU4">
        <v>3</v>
      </c>
      <c r="DV4" t="s">
        <v>253</v>
      </c>
      <c r="EC4" t="s">
        <v>254</v>
      </c>
      <c r="EF4">
        <v>2</v>
      </c>
      <c r="EG4" t="s">
        <v>235</v>
      </c>
      <c r="EH4">
        <v>1110</v>
      </c>
      <c r="EI4" s="109">
        <v>46036</v>
      </c>
      <c r="EK4" s="114">
        <v>630</v>
      </c>
      <c r="EL4" s="115" t="s">
        <v>108</v>
      </c>
      <c r="EM4" s="115">
        <v>1.8</v>
      </c>
      <c r="EN4" s="114">
        <f t="shared" si="0"/>
        <v>630</v>
      </c>
      <c r="EO4" s="116">
        <f t="shared" si="1"/>
        <v>2198</v>
      </c>
      <c r="EP4" t="s">
        <v>104</v>
      </c>
      <c r="EQ4" s="114">
        <v>630</v>
      </c>
      <c r="ER4" s="114" t="s">
        <v>109</v>
      </c>
      <c r="ES4" s="114">
        <v>0.68</v>
      </c>
      <c r="ET4" s="114">
        <f t="shared" si="2"/>
        <v>630</v>
      </c>
      <c r="EU4" s="116">
        <f t="shared" si="3"/>
        <v>298</v>
      </c>
      <c r="EV4" t="s">
        <v>106</v>
      </c>
      <c r="EW4" s="117">
        <v>8</v>
      </c>
      <c r="EX4" s="117">
        <v>8</v>
      </c>
      <c r="EY4" s="117">
        <v>8</v>
      </c>
    </row>
    <row r="5" spans="1:155">
      <c r="A5" s="32">
        <v>83</v>
      </c>
      <c r="B5" s="5" t="s">
        <v>839</v>
      </c>
      <c r="C5" s="33">
        <v>25800</v>
      </c>
      <c r="D5" s="34">
        <v>45614</v>
      </c>
      <c r="E5" s="99"/>
      <c r="F5" s="99"/>
      <c r="G5" s="99"/>
      <c r="H5" s="99"/>
      <c r="I5" s="99"/>
      <c r="J5" s="12"/>
      <c r="K5" s="35">
        <v>3</v>
      </c>
      <c r="L5" s="5" t="s">
        <v>265</v>
      </c>
      <c r="M5" s="43">
        <v>23259.5</v>
      </c>
      <c r="N5" s="34">
        <v>45330</v>
      </c>
      <c r="O5" s="99">
        <v>1</v>
      </c>
      <c r="P5" s="99" t="s">
        <v>816</v>
      </c>
      <c r="Q5" s="99"/>
      <c r="R5" s="99"/>
      <c r="S5" s="99"/>
      <c r="T5" s="99" t="s">
        <v>73</v>
      </c>
      <c r="V5" s="45">
        <v>3</v>
      </c>
      <c r="W5" s="45" t="s">
        <v>793</v>
      </c>
      <c r="X5" s="43">
        <v>9500</v>
      </c>
      <c r="Y5" s="45">
        <v>42038</v>
      </c>
      <c r="Z5" s="45" t="s">
        <v>794</v>
      </c>
      <c r="AA5" s="45" t="s">
        <v>617</v>
      </c>
      <c r="AB5" s="45" t="s">
        <v>617</v>
      </c>
      <c r="AC5" s="45" t="s">
        <v>617</v>
      </c>
      <c r="AD5" s="45" t="s">
        <v>73</v>
      </c>
      <c r="AF5" s="46">
        <v>1</v>
      </c>
      <c r="AG5" s="5" t="s">
        <v>266</v>
      </c>
      <c r="AH5" s="43">
        <v>86292</v>
      </c>
      <c r="AI5" s="45">
        <v>45614</v>
      </c>
      <c r="AJ5" s="99" t="s">
        <v>616</v>
      </c>
      <c r="AK5" s="99" t="s">
        <v>617</v>
      </c>
      <c r="AL5" s="99" t="s">
        <v>617</v>
      </c>
      <c r="AM5" s="99" t="s">
        <v>617</v>
      </c>
      <c r="AN5" s="99" t="s">
        <v>73</v>
      </c>
      <c r="AP5" s="46">
        <v>3</v>
      </c>
      <c r="AQ5" s="5" t="s">
        <v>771</v>
      </c>
      <c r="AR5" s="43">
        <v>4032</v>
      </c>
      <c r="AS5" s="45">
        <v>45313</v>
      </c>
      <c r="AT5" s="99">
        <v>1</v>
      </c>
      <c r="AU5" s="12"/>
      <c r="AV5" s="46">
        <v>136</v>
      </c>
      <c r="AW5" s="5" t="s">
        <v>736</v>
      </c>
      <c r="AX5" s="43">
        <v>78539</v>
      </c>
      <c r="AY5" s="45">
        <v>42276</v>
      </c>
      <c r="AZ5" s="99">
        <v>2</v>
      </c>
      <c r="BB5" s="46">
        <v>9</v>
      </c>
      <c r="BC5" s="47" t="s">
        <v>666</v>
      </c>
      <c r="BD5" s="33">
        <v>26520</v>
      </c>
      <c r="BE5" s="45">
        <v>45300</v>
      </c>
      <c r="BG5" s="5">
        <v>7</v>
      </c>
      <c r="BH5" s="5" t="s">
        <v>277</v>
      </c>
      <c r="BI5" s="33">
        <v>167000</v>
      </c>
      <c r="BJ5" s="45">
        <v>45604</v>
      </c>
      <c r="BK5" s="99" t="s">
        <v>651</v>
      </c>
      <c r="BL5" s="99" t="s">
        <v>617</v>
      </c>
      <c r="BM5" s="99" t="s">
        <v>617</v>
      </c>
      <c r="BN5" s="99" t="s">
        <v>617</v>
      </c>
      <c r="BO5" s="99" t="s">
        <v>73</v>
      </c>
      <c r="BQ5" s="5">
        <v>1</v>
      </c>
      <c r="BR5" s="5" t="s">
        <v>266</v>
      </c>
      <c r="BS5" s="43">
        <v>86292</v>
      </c>
      <c r="BT5" s="45">
        <v>45614</v>
      </c>
      <c r="BU5" s="99" t="s">
        <v>616</v>
      </c>
      <c r="BV5" s="99" t="s">
        <v>617</v>
      </c>
      <c r="BW5" s="99" t="s">
        <v>617</v>
      </c>
      <c r="BX5" s="99" t="s">
        <v>617</v>
      </c>
      <c r="BY5" s="99" t="s">
        <v>73</v>
      </c>
      <c r="BZ5" s="1"/>
      <c r="CA5" s="37">
        <v>92</v>
      </c>
      <c r="CB5" s="37" t="s">
        <v>568</v>
      </c>
      <c r="CC5" s="37">
        <v>127083</v>
      </c>
      <c r="CD5" s="83">
        <v>44634</v>
      </c>
      <c r="CE5" s="91" t="s">
        <v>566</v>
      </c>
      <c r="CG5" s="5">
        <v>39</v>
      </c>
      <c r="CH5" s="5" t="s">
        <v>494</v>
      </c>
      <c r="CI5" s="5">
        <v>16000</v>
      </c>
      <c r="CJ5" s="45">
        <v>44714</v>
      </c>
      <c r="CK5" s="91">
        <v>3</v>
      </c>
      <c r="CL5" s="91"/>
      <c r="CM5" s="91"/>
      <c r="CN5" s="91"/>
      <c r="CO5" s="91"/>
      <c r="CP5" s="91" t="s">
        <v>448</v>
      </c>
      <c r="CR5">
        <v>9</v>
      </c>
      <c r="CS5" t="s">
        <v>372</v>
      </c>
      <c r="CT5">
        <v>21160.282500000001</v>
      </c>
      <c r="CU5" s="12">
        <v>45736</v>
      </c>
      <c r="CW5">
        <v>34</v>
      </c>
      <c r="CX5" t="s">
        <v>326</v>
      </c>
      <c r="CY5">
        <v>5</v>
      </c>
      <c r="CZ5">
        <v>31610</v>
      </c>
      <c r="DA5" s="12">
        <v>42432</v>
      </c>
      <c r="DC5" s="96"/>
      <c r="DH5" s="12"/>
      <c r="DL5">
        <v>3</v>
      </c>
      <c r="DM5">
        <v>5</v>
      </c>
      <c r="DN5" t="s">
        <v>116</v>
      </c>
      <c r="DO5" t="s">
        <v>19</v>
      </c>
      <c r="DP5" t="s">
        <v>255</v>
      </c>
      <c r="DQ5" t="s">
        <v>250</v>
      </c>
      <c r="DR5" t="s">
        <v>251</v>
      </c>
      <c r="DT5" t="s">
        <v>256</v>
      </c>
      <c r="DU5">
        <v>3</v>
      </c>
      <c r="DV5" t="s">
        <v>253</v>
      </c>
      <c r="EF5">
        <v>3</v>
      </c>
      <c r="EG5" t="s">
        <v>236</v>
      </c>
      <c r="EH5">
        <v>1.25</v>
      </c>
      <c r="EI5" s="109">
        <v>40909</v>
      </c>
      <c r="EK5" s="114">
        <v>1000</v>
      </c>
      <c r="EL5" s="114" t="s">
        <v>111</v>
      </c>
      <c r="EM5" s="115">
        <v>3.24</v>
      </c>
      <c r="EN5" s="114">
        <f t="shared" si="0"/>
        <v>1000</v>
      </c>
      <c r="EO5" s="116">
        <f t="shared" si="1"/>
        <v>3956</v>
      </c>
      <c r="EP5" t="s">
        <v>104</v>
      </c>
      <c r="EQ5" s="114">
        <v>1000</v>
      </c>
      <c r="ER5" s="114" t="s">
        <v>110</v>
      </c>
      <c r="ES5" s="114">
        <v>1.3</v>
      </c>
      <c r="ET5" s="114">
        <f t="shared" si="2"/>
        <v>1000</v>
      </c>
      <c r="EU5" s="116">
        <f t="shared" si="3"/>
        <v>569</v>
      </c>
      <c r="EV5" t="s">
        <v>106</v>
      </c>
      <c r="EW5" s="117">
        <v>4</v>
      </c>
      <c r="EX5" s="117">
        <v>4</v>
      </c>
      <c r="EY5" s="117">
        <f>4*2</f>
        <v>8</v>
      </c>
    </row>
    <row r="6" spans="1:155">
      <c r="A6" s="32">
        <v>84</v>
      </c>
      <c r="B6" s="5" t="s">
        <v>840</v>
      </c>
      <c r="C6" s="33">
        <v>25800</v>
      </c>
      <c r="D6" s="34">
        <v>45614</v>
      </c>
      <c r="E6" s="99"/>
      <c r="F6" s="99"/>
      <c r="G6" s="99"/>
      <c r="H6" s="99"/>
      <c r="I6" s="99"/>
      <c r="J6" s="12"/>
      <c r="K6" s="36">
        <v>4</v>
      </c>
      <c r="L6" s="37" t="s">
        <v>817</v>
      </c>
      <c r="M6" s="44">
        <v>34320</v>
      </c>
      <c r="N6" s="39">
        <v>45330</v>
      </c>
      <c r="O6" s="99">
        <v>1</v>
      </c>
      <c r="P6" s="99" t="s">
        <v>818</v>
      </c>
      <c r="Q6" s="99"/>
      <c r="R6" s="99"/>
      <c r="S6" s="99"/>
      <c r="T6" s="99" t="s">
        <v>73</v>
      </c>
      <c r="V6" s="45">
        <v>4</v>
      </c>
      <c r="W6" s="45" t="s">
        <v>795</v>
      </c>
      <c r="X6" s="43">
        <v>10100</v>
      </c>
      <c r="Y6" s="45">
        <v>42985</v>
      </c>
      <c r="Z6" s="45" t="s">
        <v>796</v>
      </c>
      <c r="AA6" s="45" t="s">
        <v>617</v>
      </c>
      <c r="AB6" s="45" t="s">
        <v>617</v>
      </c>
      <c r="AC6" s="45" t="s">
        <v>617</v>
      </c>
      <c r="AD6" s="45" t="s">
        <v>73</v>
      </c>
      <c r="AF6" s="46">
        <v>2</v>
      </c>
      <c r="AG6" s="5" t="s">
        <v>618</v>
      </c>
      <c r="AH6" s="43">
        <v>83472</v>
      </c>
      <c r="AI6" s="45">
        <v>45614</v>
      </c>
      <c r="AJ6" s="99" t="s">
        <v>619</v>
      </c>
      <c r="AK6" s="99" t="s">
        <v>617</v>
      </c>
      <c r="AL6" s="99" t="s">
        <v>617</v>
      </c>
      <c r="AM6" s="99" t="s">
        <v>617</v>
      </c>
      <c r="AN6" s="99" t="s">
        <v>73</v>
      </c>
      <c r="AP6" s="46">
        <v>4</v>
      </c>
      <c r="AQ6" s="5" t="s">
        <v>772</v>
      </c>
      <c r="AR6" s="43">
        <v>4032</v>
      </c>
      <c r="AS6" s="45">
        <v>45313</v>
      </c>
      <c r="AT6" s="99">
        <v>1</v>
      </c>
      <c r="AU6" s="12"/>
      <c r="AV6" s="46">
        <v>103</v>
      </c>
      <c r="AW6" s="5" t="s">
        <v>715</v>
      </c>
      <c r="AX6" s="43">
        <v>80366.48</v>
      </c>
      <c r="AY6" s="45">
        <v>41736</v>
      </c>
      <c r="AZ6" s="99">
        <v>1</v>
      </c>
      <c r="BB6" s="46">
        <v>10</v>
      </c>
      <c r="BC6" s="47" t="s">
        <v>667</v>
      </c>
      <c r="BD6" s="33">
        <v>29620</v>
      </c>
      <c r="BE6" s="45">
        <v>45300</v>
      </c>
      <c r="BG6" s="5">
        <v>8</v>
      </c>
      <c r="BH6" s="5" t="s">
        <v>652</v>
      </c>
      <c r="BI6" s="33">
        <v>214000</v>
      </c>
      <c r="BJ6" s="45">
        <v>45604</v>
      </c>
      <c r="BK6" s="99" t="s">
        <v>653</v>
      </c>
      <c r="BL6" s="99" t="s">
        <v>617</v>
      </c>
      <c r="BM6" s="99" t="s">
        <v>617</v>
      </c>
      <c r="BN6" s="99" t="s">
        <v>617</v>
      </c>
      <c r="BO6" s="99" t="s">
        <v>73</v>
      </c>
      <c r="BQ6" s="5">
        <v>2</v>
      </c>
      <c r="BR6" s="5" t="s">
        <v>618</v>
      </c>
      <c r="BS6" s="43">
        <v>83472</v>
      </c>
      <c r="BT6" s="45">
        <v>45614</v>
      </c>
      <c r="BU6" s="99" t="s">
        <v>619</v>
      </c>
      <c r="BV6" s="99" t="s">
        <v>617</v>
      </c>
      <c r="BW6" s="99" t="s">
        <v>617</v>
      </c>
      <c r="BX6" s="99" t="s">
        <v>617</v>
      </c>
      <c r="BY6" s="99" t="s">
        <v>73</v>
      </c>
      <c r="BZ6" s="1"/>
      <c r="CA6" s="37">
        <v>93</v>
      </c>
      <c r="CB6" s="37" t="s">
        <v>569</v>
      </c>
      <c r="CC6" s="37">
        <v>125000</v>
      </c>
      <c r="CD6" s="83">
        <v>44747</v>
      </c>
      <c r="CE6" s="91" t="s">
        <v>566</v>
      </c>
      <c r="CG6" s="5">
        <v>29</v>
      </c>
      <c r="CH6" s="5" t="s">
        <v>482</v>
      </c>
      <c r="CI6" s="5">
        <v>10268.5</v>
      </c>
      <c r="CJ6" s="45">
        <v>42396</v>
      </c>
      <c r="CK6" s="91"/>
      <c r="CL6" s="91"/>
      <c r="CM6" s="91"/>
      <c r="CN6" s="91"/>
      <c r="CO6" s="91"/>
      <c r="CP6" s="91" t="s">
        <v>448</v>
      </c>
      <c r="CR6">
        <v>11</v>
      </c>
      <c r="CS6" t="s">
        <v>373</v>
      </c>
      <c r="CT6">
        <v>10803</v>
      </c>
      <c r="CU6" s="12">
        <v>44301</v>
      </c>
      <c r="CW6">
        <v>23</v>
      </c>
      <c r="CX6" t="s">
        <v>315</v>
      </c>
      <c r="CY6">
        <v>5</v>
      </c>
      <c r="CZ6">
        <v>29830</v>
      </c>
      <c r="DA6" s="12">
        <v>42432</v>
      </c>
      <c r="DH6" s="12"/>
      <c r="DL6">
        <v>4</v>
      </c>
      <c r="DM6">
        <v>6</v>
      </c>
      <c r="DN6" t="s">
        <v>116</v>
      </c>
      <c r="DO6" t="s">
        <v>11</v>
      </c>
      <c r="DP6" t="s">
        <v>257</v>
      </c>
      <c r="DQ6" t="s">
        <v>250</v>
      </c>
      <c r="DR6" t="s">
        <v>251</v>
      </c>
      <c r="DT6" t="s">
        <v>256</v>
      </c>
      <c r="DU6">
        <v>2</v>
      </c>
      <c r="DV6" t="s">
        <v>253</v>
      </c>
      <c r="DW6" t="s">
        <v>250</v>
      </c>
      <c r="DZ6" t="s">
        <v>258</v>
      </c>
      <c r="EC6" t="s">
        <v>254</v>
      </c>
      <c r="EF6">
        <v>4</v>
      </c>
      <c r="EG6" t="s">
        <v>237</v>
      </c>
      <c r="EH6">
        <v>1.1000000000000001</v>
      </c>
      <c r="EI6" s="109">
        <v>40909</v>
      </c>
      <c r="EW6" s="117" t="s">
        <v>106</v>
      </c>
      <c r="EX6" s="117" t="s">
        <v>104</v>
      </c>
      <c r="EY6" s="117" t="s">
        <v>104</v>
      </c>
    </row>
    <row r="7" spans="1:155">
      <c r="A7" s="32">
        <v>85</v>
      </c>
      <c r="B7" s="5" t="s">
        <v>841</v>
      </c>
      <c r="C7" s="33">
        <v>25800</v>
      </c>
      <c r="D7" s="34">
        <v>45614</v>
      </c>
      <c r="E7" s="99"/>
      <c r="F7" s="99"/>
      <c r="G7" s="99"/>
      <c r="H7" s="99"/>
      <c r="I7" s="99"/>
      <c r="J7" s="12"/>
      <c r="K7" s="35">
        <v>5</v>
      </c>
      <c r="L7" s="5" t="s">
        <v>287</v>
      </c>
      <c r="M7" s="89">
        <v>23210</v>
      </c>
      <c r="N7" s="34">
        <v>45680</v>
      </c>
      <c r="O7" s="99">
        <v>1</v>
      </c>
      <c r="P7" s="99" t="s">
        <v>819</v>
      </c>
      <c r="Q7" s="99" t="s">
        <v>820</v>
      </c>
      <c r="R7" s="99" t="s">
        <v>821</v>
      </c>
      <c r="S7" s="99" t="s">
        <v>822</v>
      </c>
      <c r="T7" s="99" t="s">
        <v>73</v>
      </c>
      <c r="V7" s="45">
        <v>5</v>
      </c>
      <c r="W7" s="45" t="s">
        <v>797</v>
      </c>
      <c r="X7" s="43">
        <v>10600</v>
      </c>
      <c r="Y7" s="45">
        <v>42038</v>
      </c>
      <c r="Z7" s="45" t="s">
        <v>798</v>
      </c>
      <c r="AA7" s="45" t="s">
        <v>617</v>
      </c>
      <c r="AB7" s="45" t="s">
        <v>617</v>
      </c>
      <c r="AC7" s="45" t="s">
        <v>617</v>
      </c>
      <c r="AD7" s="45" t="s">
        <v>73</v>
      </c>
      <c r="AF7" s="46">
        <v>3</v>
      </c>
      <c r="AG7" s="5" t="s">
        <v>620</v>
      </c>
      <c r="AH7" s="43">
        <v>26961</v>
      </c>
      <c r="AI7" s="45">
        <v>40909</v>
      </c>
      <c r="AJ7" s="99" t="s">
        <v>621</v>
      </c>
      <c r="AK7" s="99" t="s">
        <v>617</v>
      </c>
      <c r="AL7" s="99" t="s">
        <v>617</v>
      </c>
      <c r="AM7" s="99" t="s">
        <v>617</v>
      </c>
      <c r="AN7" s="99" t="s">
        <v>73</v>
      </c>
      <c r="AP7" s="46">
        <v>5</v>
      </c>
      <c r="AQ7" s="5" t="s">
        <v>773</v>
      </c>
      <c r="AR7" s="89">
        <v>3769</v>
      </c>
      <c r="AS7" s="45">
        <v>45699</v>
      </c>
      <c r="AT7" s="12">
        <v>1</v>
      </c>
      <c r="AV7" s="46">
        <v>147</v>
      </c>
      <c r="AW7" s="5" t="s">
        <v>252</v>
      </c>
      <c r="AX7" s="89">
        <v>70833</v>
      </c>
      <c r="AY7" s="45">
        <v>45677</v>
      </c>
      <c r="AZ7" s="99">
        <v>2</v>
      </c>
      <c r="BB7" s="46">
        <v>11</v>
      </c>
      <c r="BC7" s="47" t="s">
        <v>668</v>
      </c>
      <c r="BD7" s="33">
        <v>29688</v>
      </c>
      <c r="BE7" s="124">
        <v>44665</v>
      </c>
      <c r="BG7" s="5">
        <v>9</v>
      </c>
      <c r="BH7" s="5" t="s">
        <v>654</v>
      </c>
      <c r="BI7" s="33">
        <v>235000</v>
      </c>
      <c r="BJ7" s="45">
        <v>45604</v>
      </c>
      <c r="BK7" s="99" t="s">
        <v>655</v>
      </c>
      <c r="BL7" s="99" t="s">
        <v>656</v>
      </c>
      <c r="BM7" s="99" t="s">
        <v>617</v>
      </c>
      <c r="BN7" s="99" t="s">
        <v>617</v>
      </c>
      <c r="BO7" s="99" t="s">
        <v>73</v>
      </c>
      <c r="BQ7" s="5">
        <v>3</v>
      </c>
      <c r="BR7" s="5" t="s">
        <v>620</v>
      </c>
      <c r="BS7" s="43">
        <v>26961</v>
      </c>
      <c r="BT7" s="45">
        <v>40909</v>
      </c>
      <c r="BU7" s="99" t="s">
        <v>621</v>
      </c>
      <c r="BV7" s="99" t="s">
        <v>617</v>
      </c>
      <c r="BW7" s="99" t="s">
        <v>617</v>
      </c>
      <c r="BX7" s="99" t="s">
        <v>617</v>
      </c>
      <c r="BY7" s="99" t="s">
        <v>73</v>
      </c>
      <c r="CA7" s="37">
        <v>94</v>
      </c>
      <c r="CB7" s="37" t="s">
        <v>570</v>
      </c>
      <c r="CC7" s="37">
        <v>125000</v>
      </c>
      <c r="CD7" s="83">
        <v>44923</v>
      </c>
      <c r="CE7" s="83" t="s">
        <v>566</v>
      </c>
      <c r="CG7" s="5">
        <v>60</v>
      </c>
      <c r="CH7" s="5" t="s">
        <v>510</v>
      </c>
      <c r="CI7" s="5">
        <v>28423.119999999999</v>
      </c>
      <c r="CJ7" s="45">
        <v>42068</v>
      </c>
      <c r="CK7" s="91"/>
      <c r="CL7" s="91"/>
      <c r="CM7" s="91"/>
      <c r="CN7" s="91"/>
      <c r="CO7" s="91"/>
      <c r="CP7" s="91" t="s">
        <v>448</v>
      </c>
      <c r="CR7">
        <v>13</v>
      </c>
      <c r="CS7" t="s">
        <v>374</v>
      </c>
      <c r="CT7">
        <v>6823.3725000000004</v>
      </c>
      <c r="CU7" s="12">
        <v>45736</v>
      </c>
      <c r="CW7">
        <v>73</v>
      </c>
      <c r="CX7" t="s">
        <v>363</v>
      </c>
      <c r="CY7">
        <v>5</v>
      </c>
      <c r="CZ7">
        <v>64740</v>
      </c>
      <c r="DA7" s="12">
        <v>43896</v>
      </c>
      <c r="DH7" s="12"/>
      <c r="DL7">
        <v>5</v>
      </c>
      <c r="DM7">
        <v>61</v>
      </c>
      <c r="DN7" t="s">
        <v>116</v>
      </c>
      <c r="DO7" t="s">
        <v>12</v>
      </c>
      <c r="DP7" t="s">
        <v>257</v>
      </c>
      <c r="DQ7" t="s">
        <v>250</v>
      </c>
      <c r="DR7" t="s">
        <v>251</v>
      </c>
      <c r="DT7" t="s">
        <v>256</v>
      </c>
      <c r="DU7">
        <v>2</v>
      </c>
      <c r="DV7" t="s">
        <v>253</v>
      </c>
      <c r="DW7" t="s">
        <v>250</v>
      </c>
      <c r="DZ7" t="s">
        <v>258</v>
      </c>
      <c r="EB7" t="s">
        <v>259</v>
      </c>
      <c r="EC7" t="s">
        <v>254</v>
      </c>
      <c r="EW7">
        <f>EW3*EU3</f>
        <v>188</v>
      </c>
      <c r="EX7">
        <f>EX3*EO3</f>
        <v>1319</v>
      </c>
      <c r="EY7">
        <f>EY3*EO3</f>
        <v>1319</v>
      </c>
    </row>
    <row r="8" spans="1:155">
      <c r="A8" s="32">
        <v>86</v>
      </c>
      <c r="B8" s="5" t="s">
        <v>842</v>
      </c>
      <c r="C8" s="33">
        <v>24720</v>
      </c>
      <c r="D8" s="34">
        <v>45614</v>
      </c>
      <c r="E8" s="99"/>
      <c r="F8" s="99"/>
      <c r="G8" s="99"/>
      <c r="H8" s="99"/>
      <c r="I8" s="99"/>
      <c r="J8" s="12"/>
      <c r="K8" s="35">
        <v>6</v>
      </c>
      <c r="L8" s="5" t="s">
        <v>262</v>
      </c>
      <c r="M8" s="89">
        <v>31390</v>
      </c>
      <c r="N8" s="34">
        <v>45680</v>
      </c>
      <c r="O8" s="99">
        <v>1</v>
      </c>
      <c r="P8" s="99" t="s">
        <v>823</v>
      </c>
      <c r="Q8" s="99" t="s">
        <v>824</v>
      </c>
      <c r="R8" s="99"/>
      <c r="S8" s="99"/>
      <c r="T8" s="99" t="s">
        <v>73</v>
      </c>
      <c r="V8" s="45">
        <v>6</v>
      </c>
      <c r="W8" s="45" t="s">
        <v>799</v>
      </c>
      <c r="X8" s="43">
        <v>12300</v>
      </c>
      <c r="Y8" s="45">
        <v>42038</v>
      </c>
      <c r="Z8" s="45" t="s">
        <v>800</v>
      </c>
      <c r="AA8" s="45" t="s">
        <v>617</v>
      </c>
      <c r="AB8" s="45" t="s">
        <v>617</v>
      </c>
      <c r="AC8" s="45" t="s">
        <v>617</v>
      </c>
      <c r="AD8" s="45" t="s">
        <v>73</v>
      </c>
      <c r="AF8" s="85">
        <v>4</v>
      </c>
      <c r="AG8" s="37" t="s">
        <v>622</v>
      </c>
      <c r="AH8" s="86">
        <v>24370</v>
      </c>
      <c r="AI8" s="83">
        <v>40909</v>
      </c>
      <c r="AJ8" s="109" t="s">
        <v>621</v>
      </c>
      <c r="AK8" s="109" t="s">
        <v>617</v>
      </c>
      <c r="AL8" s="109" t="s">
        <v>617</v>
      </c>
      <c r="AM8" s="109" t="s">
        <v>617</v>
      </c>
      <c r="AN8" s="109" t="s">
        <v>73</v>
      </c>
      <c r="AP8" s="46">
        <v>6</v>
      </c>
      <c r="AQ8" s="5" t="s">
        <v>774</v>
      </c>
      <c r="AR8" s="89">
        <v>2899</v>
      </c>
      <c r="AS8" s="45">
        <v>45699</v>
      </c>
      <c r="AT8" s="12">
        <v>1</v>
      </c>
      <c r="AV8" s="46">
        <v>163</v>
      </c>
      <c r="AW8" s="5" t="s">
        <v>256</v>
      </c>
      <c r="AX8" s="43">
        <v>79167</v>
      </c>
      <c r="AY8" s="45">
        <v>45677</v>
      </c>
      <c r="AZ8" s="99">
        <v>2</v>
      </c>
      <c r="BG8" s="37">
        <v>10</v>
      </c>
      <c r="BH8" s="37" t="s">
        <v>657</v>
      </c>
      <c r="BI8" s="38">
        <v>285000</v>
      </c>
      <c r="BJ8" s="83">
        <v>45604</v>
      </c>
      <c r="BK8" s="99" t="s">
        <v>617</v>
      </c>
      <c r="BL8" s="99" t="s">
        <v>617</v>
      </c>
      <c r="BM8" s="99" t="s">
        <v>617</v>
      </c>
      <c r="BN8" s="99" t="s">
        <v>617</v>
      </c>
      <c r="BO8" s="99" t="s">
        <v>73</v>
      </c>
      <c r="BQ8" s="37">
        <v>4</v>
      </c>
      <c r="BR8" s="37" t="s">
        <v>622</v>
      </c>
      <c r="BS8" s="86">
        <v>24370</v>
      </c>
      <c r="BT8" s="83">
        <v>40909</v>
      </c>
      <c r="BU8" s="109" t="s">
        <v>621</v>
      </c>
      <c r="BV8" s="109" t="s">
        <v>617</v>
      </c>
      <c r="BW8" s="109" t="s">
        <v>617</v>
      </c>
      <c r="BX8" s="109" t="s">
        <v>617</v>
      </c>
      <c r="BY8" s="109" t="s">
        <v>73</v>
      </c>
      <c r="CA8" s="90">
        <v>98</v>
      </c>
      <c r="CB8" s="90" t="s">
        <v>571</v>
      </c>
      <c r="CC8" s="90">
        <v>123333</v>
      </c>
      <c r="CD8" s="91">
        <v>45127</v>
      </c>
      <c r="CE8" s="91" t="s">
        <v>566</v>
      </c>
      <c r="CG8" s="5">
        <v>68</v>
      </c>
      <c r="CH8" s="5" t="s">
        <v>518</v>
      </c>
      <c r="CI8" s="5">
        <v>32250</v>
      </c>
      <c r="CJ8" s="45">
        <v>42326</v>
      </c>
      <c r="CK8" s="91"/>
      <c r="CL8" s="91"/>
      <c r="CM8" s="91"/>
      <c r="CN8" s="91"/>
      <c r="CO8" s="91"/>
      <c r="CP8" s="91" t="s">
        <v>448</v>
      </c>
      <c r="CR8">
        <v>14</v>
      </c>
      <c r="CS8" t="s">
        <v>375</v>
      </c>
      <c r="CT8">
        <v>164401.82329999999</v>
      </c>
      <c r="CU8" s="12">
        <v>45736</v>
      </c>
      <c r="CW8">
        <v>21</v>
      </c>
      <c r="CX8" t="s">
        <v>313</v>
      </c>
      <c r="CY8">
        <v>5</v>
      </c>
      <c r="CZ8">
        <v>25356</v>
      </c>
      <c r="DA8" s="12">
        <v>42432</v>
      </c>
      <c r="DH8" s="12"/>
      <c r="DL8">
        <v>6</v>
      </c>
      <c r="DM8">
        <v>7</v>
      </c>
      <c r="DN8" t="s">
        <v>116</v>
      </c>
      <c r="DO8" t="s">
        <v>13</v>
      </c>
      <c r="DP8" t="s">
        <v>249</v>
      </c>
      <c r="DQ8" t="s">
        <v>250</v>
      </c>
      <c r="DR8" t="s">
        <v>251</v>
      </c>
      <c r="DT8" t="s">
        <v>252</v>
      </c>
      <c r="DU8">
        <v>3</v>
      </c>
      <c r="DV8" t="s">
        <v>253</v>
      </c>
      <c r="DW8" t="s">
        <v>250</v>
      </c>
      <c r="EC8" t="s">
        <v>254</v>
      </c>
      <c r="EW8">
        <f t="shared" ref="EW8:EW9" si="4">EW4*EU4</f>
        <v>2384</v>
      </c>
      <c r="EX8">
        <f t="shared" ref="EX8:EX9" si="5">EX4*EO4</f>
        <v>17584</v>
      </c>
      <c r="EY8">
        <f t="shared" ref="EY8:EY9" si="6">EY4*EO4</f>
        <v>17584</v>
      </c>
    </row>
    <row r="9" spans="1:155" ht="13.5" thickBot="1">
      <c r="A9" s="32">
        <v>87</v>
      </c>
      <c r="B9" s="5" t="s">
        <v>843</v>
      </c>
      <c r="C9" s="33">
        <v>24720</v>
      </c>
      <c r="D9" s="34">
        <v>45614</v>
      </c>
      <c r="E9" s="99"/>
      <c r="F9" s="99"/>
      <c r="G9" s="99"/>
      <c r="H9" s="99"/>
      <c r="I9" s="99"/>
      <c r="J9" s="12"/>
      <c r="K9" s="35">
        <v>7</v>
      </c>
      <c r="L9" s="5" t="s">
        <v>825</v>
      </c>
      <c r="M9" s="89">
        <v>14723.5</v>
      </c>
      <c r="N9" s="34">
        <v>41109</v>
      </c>
      <c r="O9" s="99"/>
      <c r="P9" s="99"/>
      <c r="Q9" s="99"/>
      <c r="R9" s="99"/>
      <c r="S9" s="99"/>
      <c r="T9" s="99" t="s">
        <v>73</v>
      </c>
      <c r="V9" s="45">
        <v>7</v>
      </c>
      <c r="W9" s="45" t="s">
        <v>801</v>
      </c>
      <c r="X9" s="43">
        <v>8800</v>
      </c>
      <c r="Y9" s="45">
        <v>42038</v>
      </c>
      <c r="Z9" s="45" t="s">
        <v>802</v>
      </c>
      <c r="AA9" s="45" t="s">
        <v>617</v>
      </c>
      <c r="AB9" s="45" t="s">
        <v>617</v>
      </c>
      <c r="AC9" s="45" t="s">
        <v>617</v>
      </c>
      <c r="AD9" s="45" t="s">
        <v>73</v>
      </c>
      <c r="AF9" s="46">
        <v>5</v>
      </c>
      <c r="AG9" s="5" t="s">
        <v>623</v>
      </c>
      <c r="AH9" s="89">
        <v>37950</v>
      </c>
      <c r="AI9" s="124">
        <v>42075</v>
      </c>
      <c r="AJ9" s="122" t="s">
        <v>624</v>
      </c>
      <c r="AK9" s="122" t="s">
        <v>617</v>
      </c>
      <c r="AL9" s="122" t="s">
        <v>617</v>
      </c>
      <c r="AM9" s="122" t="s">
        <v>617</v>
      </c>
      <c r="AN9" s="122" t="s">
        <v>73</v>
      </c>
      <c r="AP9" s="46">
        <v>7</v>
      </c>
      <c r="AQ9" s="5" t="s">
        <v>775</v>
      </c>
      <c r="AR9" s="89">
        <v>1900</v>
      </c>
      <c r="AS9" s="45">
        <v>43732</v>
      </c>
      <c r="AV9" s="46">
        <v>154</v>
      </c>
      <c r="AW9" s="5" t="s">
        <v>745</v>
      </c>
      <c r="AX9" s="43">
        <v>39500</v>
      </c>
      <c r="AY9" s="45">
        <v>43808</v>
      </c>
      <c r="AZ9" s="99">
        <v>1</v>
      </c>
      <c r="BG9" s="5">
        <v>15</v>
      </c>
      <c r="BH9" s="5" t="s">
        <v>662</v>
      </c>
      <c r="BI9" s="33">
        <v>100500</v>
      </c>
      <c r="BJ9" s="45">
        <v>45604</v>
      </c>
      <c r="BK9" s="99"/>
      <c r="BL9" s="99"/>
      <c r="BM9" s="99"/>
      <c r="BN9" s="99"/>
      <c r="BO9" s="99"/>
      <c r="BQ9" s="5">
        <v>5</v>
      </c>
      <c r="BR9" s="5" t="s">
        <v>623</v>
      </c>
      <c r="BS9" s="89">
        <v>37950</v>
      </c>
      <c r="BT9" s="124">
        <v>42075</v>
      </c>
      <c r="BU9" s="122" t="s">
        <v>624</v>
      </c>
      <c r="BV9" s="122" t="s">
        <v>617</v>
      </c>
      <c r="BW9" s="122" t="s">
        <v>617</v>
      </c>
      <c r="BX9" s="122" t="s">
        <v>617</v>
      </c>
      <c r="BY9" s="122" t="s">
        <v>73</v>
      </c>
      <c r="CA9" s="90">
        <v>99</v>
      </c>
      <c r="CB9" s="90" t="s">
        <v>572</v>
      </c>
      <c r="CC9" s="90">
        <v>132203</v>
      </c>
      <c r="CD9" s="91">
        <v>43342</v>
      </c>
      <c r="CE9" s="91" t="s">
        <v>566</v>
      </c>
      <c r="CG9" s="37">
        <v>63</v>
      </c>
      <c r="CH9" s="37" t="s">
        <v>513</v>
      </c>
      <c r="CI9" s="37">
        <v>36632</v>
      </c>
      <c r="CJ9" s="83">
        <v>42075</v>
      </c>
      <c r="CK9" s="91"/>
      <c r="CL9" s="91"/>
      <c r="CM9" s="91"/>
      <c r="CN9" s="91"/>
      <c r="CO9" s="91"/>
      <c r="CP9" s="91" t="s">
        <v>448</v>
      </c>
      <c r="CR9">
        <v>15</v>
      </c>
      <c r="CS9" t="s">
        <v>376</v>
      </c>
      <c r="CT9">
        <v>75766</v>
      </c>
      <c r="CU9" s="12">
        <v>44301</v>
      </c>
      <c r="CW9">
        <v>63</v>
      </c>
      <c r="CX9" t="s">
        <v>353</v>
      </c>
      <c r="CY9">
        <v>5</v>
      </c>
      <c r="CZ9">
        <v>151866</v>
      </c>
      <c r="DA9" s="12">
        <v>42985</v>
      </c>
      <c r="DH9" s="12"/>
      <c r="DL9">
        <v>7</v>
      </c>
      <c r="DM9">
        <v>8</v>
      </c>
      <c r="DN9" t="s">
        <v>116</v>
      </c>
      <c r="DO9" t="s">
        <v>9</v>
      </c>
      <c r="DP9" t="s">
        <v>249</v>
      </c>
      <c r="DQ9" t="s">
        <v>250</v>
      </c>
      <c r="DR9" t="s">
        <v>251</v>
      </c>
      <c r="DT9" t="s">
        <v>252</v>
      </c>
      <c r="DU9">
        <v>2</v>
      </c>
      <c r="DV9" t="s">
        <v>253</v>
      </c>
      <c r="DW9" t="s">
        <v>250</v>
      </c>
      <c r="EC9" t="s">
        <v>254</v>
      </c>
      <c r="EW9">
        <f t="shared" si="4"/>
        <v>2276</v>
      </c>
      <c r="EX9">
        <f t="shared" si="5"/>
        <v>15824</v>
      </c>
      <c r="EY9">
        <f t="shared" si="6"/>
        <v>31648</v>
      </c>
    </row>
    <row r="10" spans="1:155" ht="13.5" thickBot="1">
      <c r="A10" s="32">
        <v>88</v>
      </c>
      <c r="B10" s="5" t="s">
        <v>844</v>
      </c>
      <c r="C10" s="33">
        <v>24720</v>
      </c>
      <c r="D10" s="34">
        <v>45614</v>
      </c>
      <c r="E10" s="99"/>
      <c r="F10" s="99"/>
      <c r="G10" s="99"/>
      <c r="H10" s="99"/>
      <c r="I10" s="99"/>
      <c r="J10" s="12"/>
      <c r="K10" s="36">
        <v>8</v>
      </c>
      <c r="L10" s="37" t="s">
        <v>826</v>
      </c>
      <c r="M10" s="86">
        <v>19057.5</v>
      </c>
      <c r="N10" s="39">
        <v>41109</v>
      </c>
      <c r="O10" s="99"/>
      <c r="P10" s="99"/>
      <c r="Q10" s="99"/>
      <c r="R10" s="99"/>
      <c r="S10" s="99"/>
      <c r="T10" s="99" t="s">
        <v>73</v>
      </c>
      <c r="V10" s="45">
        <v>8</v>
      </c>
      <c r="W10" s="45" t="s">
        <v>254</v>
      </c>
      <c r="X10" s="43">
        <v>1950</v>
      </c>
      <c r="Y10" s="45">
        <v>42767</v>
      </c>
      <c r="Z10" s="45" t="s">
        <v>803</v>
      </c>
      <c r="AA10" s="45" t="s">
        <v>617</v>
      </c>
      <c r="AB10" s="45" t="s">
        <v>617</v>
      </c>
      <c r="AC10" s="45" t="s">
        <v>617</v>
      </c>
      <c r="AD10" s="45" t="s">
        <v>73</v>
      </c>
      <c r="AF10" s="46">
        <v>6</v>
      </c>
      <c r="AG10" s="5" t="s">
        <v>625</v>
      </c>
      <c r="AH10" s="89">
        <v>37950</v>
      </c>
      <c r="AI10" s="124">
        <v>42075</v>
      </c>
      <c r="AJ10" s="122" t="s">
        <v>626</v>
      </c>
      <c r="AK10" s="122" t="s">
        <v>627</v>
      </c>
      <c r="AL10" s="122"/>
      <c r="AM10" s="122"/>
      <c r="AN10" s="122" t="s">
        <v>73</v>
      </c>
      <c r="AP10" s="85">
        <v>8</v>
      </c>
      <c r="AQ10" s="37" t="s">
        <v>776</v>
      </c>
      <c r="AR10" s="86">
        <v>1800</v>
      </c>
      <c r="AS10" s="83">
        <v>45568</v>
      </c>
      <c r="AV10" s="46">
        <v>153</v>
      </c>
      <c r="AW10" s="5" t="s">
        <v>264</v>
      </c>
      <c r="AX10" s="89">
        <v>70833</v>
      </c>
      <c r="AY10" s="45">
        <v>45677</v>
      </c>
      <c r="AZ10" s="99">
        <v>2</v>
      </c>
      <c r="BG10" s="5">
        <v>2</v>
      </c>
      <c r="BH10" s="5" t="s">
        <v>272</v>
      </c>
      <c r="BI10" s="33">
        <v>111000</v>
      </c>
      <c r="BJ10" s="45">
        <v>45604</v>
      </c>
      <c r="BK10" s="99" t="s">
        <v>639</v>
      </c>
      <c r="BL10" s="99" t="s">
        <v>640</v>
      </c>
      <c r="BM10" s="99" t="s">
        <v>617</v>
      </c>
      <c r="BN10" s="99" t="s">
        <v>617</v>
      </c>
      <c r="BO10" s="99" t="s">
        <v>73</v>
      </c>
      <c r="BQ10" s="5">
        <v>6</v>
      </c>
      <c r="BR10" s="5" t="s">
        <v>625</v>
      </c>
      <c r="BS10" s="89">
        <v>37950</v>
      </c>
      <c r="BT10" s="124">
        <v>42075</v>
      </c>
      <c r="BU10" s="122" t="s">
        <v>626</v>
      </c>
      <c r="BV10" s="122" t="s">
        <v>627</v>
      </c>
      <c r="BW10" s="122"/>
      <c r="BX10" s="122"/>
      <c r="BY10" s="122" t="s">
        <v>73</v>
      </c>
      <c r="CA10" s="90">
        <v>100</v>
      </c>
      <c r="CB10" s="90" t="s">
        <v>573</v>
      </c>
      <c r="CC10" s="90">
        <v>270762</v>
      </c>
      <c r="CD10" s="91">
        <v>45699</v>
      </c>
      <c r="CE10" s="91" t="s">
        <v>566</v>
      </c>
      <c r="CG10" s="37">
        <v>50</v>
      </c>
      <c r="CH10" s="37" t="s">
        <v>502</v>
      </c>
      <c r="CI10" s="37">
        <v>17082</v>
      </c>
      <c r="CJ10" s="83">
        <v>44084</v>
      </c>
      <c r="CK10" s="91">
        <v>2</v>
      </c>
      <c r="CL10" s="91"/>
      <c r="CM10" s="91"/>
      <c r="CN10" s="91"/>
      <c r="CO10" s="91"/>
      <c r="CP10" s="91" t="s">
        <v>448</v>
      </c>
      <c r="CR10">
        <v>16</v>
      </c>
      <c r="CS10" t="s">
        <v>377</v>
      </c>
      <c r="CT10">
        <v>102750.795</v>
      </c>
      <c r="CU10" s="12">
        <v>45736</v>
      </c>
      <c r="CW10">
        <v>54</v>
      </c>
      <c r="CX10" t="s">
        <v>344</v>
      </c>
      <c r="CY10">
        <v>5</v>
      </c>
      <c r="CZ10">
        <v>15695</v>
      </c>
      <c r="DA10" s="12">
        <v>42432</v>
      </c>
      <c r="DH10" s="12"/>
      <c r="DL10">
        <v>8</v>
      </c>
      <c r="DM10">
        <v>81</v>
      </c>
      <c r="DN10" t="s">
        <v>116</v>
      </c>
      <c r="DO10" t="s">
        <v>10</v>
      </c>
      <c r="DP10" t="s">
        <v>249</v>
      </c>
      <c r="DQ10" t="s">
        <v>250</v>
      </c>
      <c r="DR10" t="s">
        <v>251</v>
      </c>
      <c r="DT10" t="s">
        <v>252</v>
      </c>
      <c r="DU10">
        <v>2</v>
      </c>
      <c r="DV10" t="s">
        <v>253</v>
      </c>
      <c r="DW10" t="s">
        <v>250</v>
      </c>
      <c r="EB10" t="s">
        <v>259</v>
      </c>
      <c r="EC10" t="s">
        <v>254</v>
      </c>
      <c r="EW10" s="118">
        <f>SUM(EW7:EW9)</f>
        <v>4848</v>
      </c>
      <c r="EX10" s="119">
        <f>SUM(EX7:EX9)</f>
        <v>34727</v>
      </c>
      <c r="EY10" s="120">
        <f>SUM(EY7:EY9)</f>
        <v>50551</v>
      </c>
    </row>
    <row r="11" spans="1:155">
      <c r="A11" s="32">
        <v>89</v>
      </c>
      <c r="B11" s="5" t="s">
        <v>845</v>
      </c>
      <c r="C11" s="33">
        <v>24720</v>
      </c>
      <c r="D11" s="34">
        <v>45614</v>
      </c>
      <c r="E11" s="99"/>
      <c r="F11" s="99"/>
      <c r="G11" s="99"/>
      <c r="H11" s="99"/>
      <c r="I11" s="99"/>
      <c r="J11" s="12"/>
      <c r="K11" s="36">
        <v>9</v>
      </c>
      <c r="L11" s="37" t="s">
        <v>827</v>
      </c>
      <c r="M11" s="86">
        <v>34717.826000000001</v>
      </c>
      <c r="N11" s="39">
        <v>43536</v>
      </c>
      <c r="O11" s="99">
        <v>1</v>
      </c>
      <c r="P11" s="99"/>
      <c r="Q11" s="99"/>
      <c r="R11" s="99"/>
      <c r="S11" s="99"/>
      <c r="T11" s="99" t="s">
        <v>73</v>
      </c>
      <c r="V11" s="83">
        <v>10</v>
      </c>
      <c r="W11" s="83" t="s">
        <v>804</v>
      </c>
      <c r="X11" s="86">
        <v>6095</v>
      </c>
      <c r="Y11" s="83">
        <v>45614</v>
      </c>
      <c r="Z11" s="83"/>
      <c r="AA11" s="83"/>
      <c r="AB11" s="83"/>
      <c r="AC11" s="83"/>
      <c r="AD11" s="83"/>
      <c r="AF11" s="46">
        <v>7</v>
      </c>
      <c r="AG11" s="5" t="s">
        <v>628</v>
      </c>
      <c r="AH11" s="89">
        <v>14800</v>
      </c>
      <c r="AI11" s="124">
        <v>44406</v>
      </c>
      <c r="AJ11" s="122"/>
      <c r="AK11" s="122"/>
      <c r="AL11" s="122"/>
      <c r="AM11" s="122"/>
      <c r="AN11" s="122" t="s">
        <v>73</v>
      </c>
      <c r="AP11" s="46">
        <v>9</v>
      </c>
      <c r="AQ11" s="5" t="s">
        <v>777</v>
      </c>
      <c r="AR11" s="89">
        <v>1410</v>
      </c>
      <c r="AS11" s="45">
        <v>41746</v>
      </c>
      <c r="AV11" s="46">
        <v>162</v>
      </c>
      <c r="AW11" s="5" t="s">
        <v>752</v>
      </c>
      <c r="AX11" s="89">
        <v>100000</v>
      </c>
      <c r="AY11" s="45">
        <v>45888</v>
      </c>
      <c r="AZ11" s="99">
        <v>1</v>
      </c>
      <c r="BG11" s="5">
        <v>3</v>
      </c>
      <c r="BH11" s="5" t="s">
        <v>641</v>
      </c>
      <c r="BI11" s="33">
        <v>125300</v>
      </c>
      <c r="BJ11" s="45">
        <v>45604</v>
      </c>
      <c r="BK11" s="99" t="s">
        <v>642</v>
      </c>
      <c r="BL11" s="99" t="s">
        <v>617</v>
      </c>
      <c r="BM11" s="99" t="s">
        <v>617</v>
      </c>
      <c r="BN11" s="99" t="s">
        <v>617</v>
      </c>
      <c r="BO11" s="99" t="s">
        <v>73</v>
      </c>
      <c r="BQ11" s="5">
        <v>7</v>
      </c>
      <c r="BR11" s="5" t="s">
        <v>628</v>
      </c>
      <c r="BS11" s="89">
        <v>14800</v>
      </c>
      <c r="BT11" s="124">
        <v>44406</v>
      </c>
      <c r="BU11" s="122"/>
      <c r="BV11" s="122"/>
      <c r="BW11" s="122"/>
      <c r="BX11" s="122"/>
      <c r="BY11" s="122" t="s">
        <v>73</v>
      </c>
      <c r="CA11" s="90">
        <v>104</v>
      </c>
      <c r="CB11" s="90" t="s">
        <v>574</v>
      </c>
      <c r="CC11" s="90">
        <v>132990</v>
      </c>
      <c r="CD11" s="91">
        <v>44946</v>
      </c>
      <c r="CE11" s="91" t="s">
        <v>566</v>
      </c>
      <c r="CG11" s="37">
        <v>55</v>
      </c>
      <c r="CH11" s="37" t="s">
        <v>507</v>
      </c>
      <c r="CI11" s="37">
        <v>7500</v>
      </c>
      <c r="CJ11" s="83">
        <v>41736</v>
      </c>
      <c r="CK11" s="91">
        <v>1</v>
      </c>
      <c r="CL11" s="91"/>
      <c r="CM11" s="91"/>
      <c r="CN11" s="91"/>
      <c r="CO11" s="91"/>
      <c r="CP11" s="91" t="s">
        <v>448</v>
      </c>
      <c r="CR11">
        <v>18</v>
      </c>
      <c r="CS11" t="s">
        <v>378</v>
      </c>
      <c r="CT11">
        <v>87224</v>
      </c>
      <c r="CU11" s="12">
        <v>45736</v>
      </c>
      <c r="CW11">
        <v>53</v>
      </c>
      <c r="CX11" t="s">
        <v>343</v>
      </c>
      <c r="CY11">
        <v>5</v>
      </c>
      <c r="CZ11">
        <v>8563</v>
      </c>
      <c r="DA11" s="12">
        <v>42068</v>
      </c>
      <c r="DH11" s="12"/>
      <c r="DL11">
        <v>9</v>
      </c>
      <c r="DM11">
        <v>9</v>
      </c>
      <c r="DN11" t="s">
        <v>122</v>
      </c>
      <c r="DO11" t="s">
        <v>118</v>
      </c>
      <c r="DP11" t="s">
        <v>249</v>
      </c>
      <c r="DQ11" t="s">
        <v>250</v>
      </c>
      <c r="EA11" t="s">
        <v>260</v>
      </c>
    </row>
    <row r="12" spans="1:155">
      <c r="A12" s="32">
        <v>90</v>
      </c>
      <c r="B12" s="5" t="s">
        <v>846</v>
      </c>
      <c r="C12" s="33">
        <v>24720</v>
      </c>
      <c r="D12" s="34">
        <v>45614</v>
      </c>
      <c r="E12" s="99"/>
      <c r="F12" s="99"/>
      <c r="G12" s="99"/>
      <c r="H12" s="99"/>
      <c r="I12" s="99"/>
      <c r="J12" s="12"/>
      <c r="K12" s="36">
        <v>10</v>
      </c>
      <c r="L12" s="37" t="s">
        <v>269</v>
      </c>
      <c r="M12" s="86">
        <v>11519</v>
      </c>
      <c r="N12" s="39">
        <v>45680</v>
      </c>
      <c r="O12" s="99">
        <v>1</v>
      </c>
      <c r="P12" s="99" t="s">
        <v>828</v>
      </c>
      <c r="Q12" s="99"/>
      <c r="R12" s="99"/>
      <c r="S12" s="99"/>
      <c r="T12" s="99" t="s">
        <v>73</v>
      </c>
      <c r="V12" s="124">
        <v>11</v>
      </c>
      <c r="W12" s="124" t="s">
        <v>805</v>
      </c>
      <c r="X12" s="89">
        <v>6670</v>
      </c>
      <c r="Y12" s="124">
        <v>45614</v>
      </c>
      <c r="Z12" s="124"/>
      <c r="AA12" s="124"/>
      <c r="AB12" s="124"/>
      <c r="AC12" s="124"/>
      <c r="AD12" s="124"/>
      <c r="AF12" s="46">
        <v>8</v>
      </c>
      <c r="AG12" s="5" t="s">
        <v>629</v>
      </c>
      <c r="AH12" s="89">
        <v>15700</v>
      </c>
      <c r="AI12" s="124">
        <v>44406</v>
      </c>
      <c r="AJ12" s="122"/>
      <c r="AK12" s="122"/>
      <c r="AL12" s="122"/>
      <c r="AM12" s="122"/>
      <c r="AN12" s="122" t="s">
        <v>73</v>
      </c>
      <c r="AP12" s="85">
        <v>10</v>
      </c>
      <c r="AQ12" s="37" t="s">
        <v>778</v>
      </c>
      <c r="AR12" s="86">
        <v>1410</v>
      </c>
      <c r="AS12" s="83">
        <v>41746</v>
      </c>
      <c r="AT12" s="109"/>
      <c r="AV12" s="46">
        <v>159</v>
      </c>
      <c r="AW12" s="5" t="s">
        <v>749</v>
      </c>
      <c r="AX12" s="89">
        <v>45833</v>
      </c>
      <c r="AY12" s="45">
        <v>45677</v>
      </c>
      <c r="AZ12" s="99"/>
      <c r="BG12" s="37">
        <v>4</v>
      </c>
      <c r="BH12" s="37" t="s">
        <v>643</v>
      </c>
      <c r="BI12" s="38">
        <v>147600</v>
      </c>
      <c r="BJ12" s="83">
        <v>45604</v>
      </c>
      <c r="BK12" s="99" t="s">
        <v>644</v>
      </c>
      <c r="BL12" s="99" t="s">
        <v>645</v>
      </c>
      <c r="BM12" s="99" t="s">
        <v>617</v>
      </c>
      <c r="BN12" s="99" t="s">
        <v>617</v>
      </c>
      <c r="BO12" s="99" t="s">
        <v>73</v>
      </c>
      <c r="BQ12" s="5">
        <v>8</v>
      </c>
      <c r="BR12" s="5" t="s">
        <v>629</v>
      </c>
      <c r="BS12" s="89">
        <v>15700</v>
      </c>
      <c r="BT12" s="124">
        <v>44406</v>
      </c>
      <c r="BU12" s="122"/>
      <c r="BV12" s="122"/>
      <c r="BW12" s="122"/>
      <c r="BX12" s="122"/>
      <c r="BY12" s="122" t="s">
        <v>73</v>
      </c>
      <c r="CA12" s="90">
        <v>114</v>
      </c>
      <c r="CB12" s="90" t="s">
        <v>284</v>
      </c>
      <c r="CC12" s="90">
        <v>73580</v>
      </c>
      <c r="CD12" s="91">
        <v>44267</v>
      </c>
      <c r="CE12" s="91" t="s">
        <v>575</v>
      </c>
      <c r="CG12" s="90">
        <v>80</v>
      </c>
      <c r="CH12" s="90" t="s">
        <v>530</v>
      </c>
      <c r="CI12" s="90">
        <v>36500</v>
      </c>
      <c r="CJ12" s="91">
        <v>42811</v>
      </c>
      <c r="CK12" s="91"/>
      <c r="CL12" s="91"/>
      <c r="CM12" s="91"/>
      <c r="CN12" s="91"/>
      <c r="CO12" s="91"/>
      <c r="CP12" s="91" t="s">
        <v>448</v>
      </c>
      <c r="CR12">
        <v>19</v>
      </c>
      <c r="CS12" t="s">
        <v>379</v>
      </c>
      <c r="CT12">
        <v>105556</v>
      </c>
      <c r="CU12" s="12">
        <v>44301</v>
      </c>
      <c r="CW12">
        <v>40</v>
      </c>
      <c r="CX12" t="s">
        <v>331</v>
      </c>
      <c r="CY12">
        <v>5</v>
      </c>
      <c r="CZ12">
        <v>7622</v>
      </c>
      <c r="DA12" s="12">
        <v>41164</v>
      </c>
      <c r="DL12">
        <v>10</v>
      </c>
      <c r="DM12">
        <v>10</v>
      </c>
      <c r="DN12" t="s">
        <v>122</v>
      </c>
      <c r="DO12" t="s">
        <v>261</v>
      </c>
      <c r="DP12" t="s">
        <v>249</v>
      </c>
      <c r="DQ12" t="s">
        <v>250</v>
      </c>
      <c r="DW12" t="s">
        <v>262</v>
      </c>
      <c r="EW12" s="117"/>
      <c r="EX12" s="117"/>
      <c r="EY12" s="117"/>
    </row>
    <row r="13" spans="1:155">
      <c r="A13" s="32">
        <v>91</v>
      </c>
      <c r="B13" s="5" t="s">
        <v>847</v>
      </c>
      <c r="C13" s="33">
        <v>24720</v>
      </c>
      <c r="D13" s="34">
        <v>45614</v>
      </c>
      <c r="E13" s="99"/>
      <c r="F13" s="99"/>
      <c r="G13" s="99"/>
      <c r="H13" s="99"/>
      <c r="I13" s="99"/>
      <c r="J13" s="12"/>
      <c r="K13" s="36">
        <v>11</v>
      </c>
      <c r="L13" s="37" t="s">
        <v>282</v>
      </c>
      <c r="M13" s="86">
        <v>14950</v>
      </c>
      <c r="N13" s="39">
        <v>45680</v>
      </c>
      <c r="O13" s="99">
        <v>1</v>
      </c>
      <c r="P13" s="99" t="s">
        <v>829</v>
      </c>
      <c r="Q13" s="99"/>
      <c r="R13" s="99"/>
      <c r="S13" s="99"/>
      <c r="T13" s="99" t="s">
        <v>73</v>
      </c>
      <c r="V13" s="124">
        <v>12</v>
      </c>
      <c r="W13" s="124" t="s">
        <v>806</v>
      </c>
      <c r="X13" s="89">
        <v>8165</v>
      </c>
      <c r="Y13" s="124">
        <v>45614</v>
      </c>
      <c r="Z13" s="124"/>
      <c r="AA13" s="124"/>
      <c r="AB13" s="124"/>
      <c r="AC13" s="124"/>
      <c r="AD13" s="124"/>
      <c r="AF13" s="46"/>
      <c r="AG13" s="5" t="s">
        <v>630</v>
      </c>
      <c r="AH13" s="89">
        <v>42102</v>
      </c>
      <c r="AI13" s="124"/>
      <c r="AJ13" s="122"/>
      <c r="AK13" s="122"/>
      <c r="AL13" s="122"/>
      <c r="AM13" s="122"/>
      <c r="AN13" s="122" t="s">
        <v>73</v>
      </c>
      <c r="AP13" s="46">
        <v>12</v>
      </c>
      <c r="AQ13" s="5" t="s">
        <v>779</v>
      </c>
      <c r="AR13" s="89">
        <v>2888</v>
      </c>
      <c r="AS13" s="124">
        <v>45313</v>
      </c>
      <c r="AT13" s="122">
        <v>1</v>
      </c>
      <c r="AV13" s="46">
        <v>175</v>
      </c>
      <c r="AW13" s="5" t="s">
        <v>761</v>
      </c>
      <c r="AX13" s="89">
        <v>175250</v>
      </c>
      <c r="AY13" s="45">
        <v>45699</v>
      </c>
      <c r="AZ13" s="99"/>
      <c r="BG13" s="37">
        <v>14</v>
      </c>
      <c r="BH13" s="37" t="s">
        <v>661</v>
      </c>
      <c r="BI13" s="38">
        <v>146500</v>
      </c>
      <c r="BJ13" s="83">
        <v>45604</v>
      </c>
      <c r="BK13" s="99"/>
      <c r="BL13" s="99"/>
      <c r="BM13" s="99"/>
      <c r="BN13" s="99"/>
      <c r="BO13" s="99" t="s">
        <v>73</v>
      </c>
      <c r="BQ13" s="5"/>
      <c r="BR13" s="5" t="s">
        <v>630</v>
      </c>
      <c r="BS13" s="89">
        <v>42102</v>
      </c>
      <c r="BT13" s="124"/>
      <c r="BU13" s="122"/>
      <c r="BV13" s="122"/>
      <c r="BW13" s="122"/>
      <c r="BX13" s="122"/>
      <c r="BY13" s="122" t="s">
        <v>73</v>
      </c>
      <c r="CA13" s="90">
        <v>115</v>
      </c>
      <c r="CB13" s="90" t="s">
        <v>576</v>
      </c>
      <c r="CC13" s="90">
        <v>308116</v>
      </c>
      <c r="CD13" s="91">
        <v>45624</v>
      </c>
      <c r="CE13" s="91" t="s">
        <v>577</v>
      </c>
      <c r="CG13" s="90">
        <v>49</v>
      </c>
      <c r="CH13" s="90" t="s">
        <v>501</v>
      </c>
      <c r="CI13" s="90">
        <v>33248</v>
      </c>
      <c r="CJ13" s="91">
        <v>41522</v>
      </c>
      <c r="CK13" s="91"/>
      <c r="CL13" s="91"/>
      <c r="CM13" s="91"/>
      <c r="CN13" s="91"/>
      <c r="CO13" s="91"/>
      <c r="CP13" s="91" t="s">
        <v>448</v>
      </c>
      <c r="CR13">
        <v>20</v>
      </c>
      <c r="CS13" t="s">
        <v>380</v>
      </c>
      <c r="CT13">
        <v>55803.037499999999</v>
      </c>
      <c r="CU13" s="122">
        <v>45736</v>
      </c>
      <c r="CW13">
        <v>52</v>
      </c>
      <c r="CX13" t="s">
        <v>342</v>
      </c>
      <c r="CY13">
        <v>5</v>
      </c>
      <c r="CZ13">
        <v>22000</v>
      </c>
      <c r="DA13" s="12">
        <v>41736</v>
      </c>
      <c r="DL13">
        <v>11</v>
      </c>
      <c r="DM13">
        <v>12</v>
      </c>
      <c r="DN13" t="s">
        <v>122</v>
      </c>
      <c r="DO13" t="s">
        <v>263</v>
      </c>
      <c r="DP13" t="s">
        <v>0</v>
      </c>
      <c r="DQ13" t="s">
        <v>250</v>
      </c>
      <c r="DT13" t="s">
        <v>264</v>
      </c>
      <c r="DW13" t="s">
        <v>265</v>
      </c>
      <c r="DY13" t="s">
        <v>266</v>
      </c>
      <c r="EB13" t="s">
        <v>259</v>
      </c>
    </row>
    <row r="14" spans="1:155">
      <c r="A14" s="32">
        <v>92</v>
      </c>
      <c r="B14" s="5" t="s">
        <v>848</v>
      </c>
      <c r="C14" s="33">
        <v>24720</v>
      </c>
      <c r="D14" s="34">
        <v>45614</v>
      </c>
      <c r="E14" s="99"/>
      <c r="F14" s="99"/>
      <c r="G14" s="99"/>
      <c r="H14" s="99"/>
      <c r="I14" s="99"/>
      <c r="J14" s="12"/>
      <c r="K14" s="36">
        <v>12</v>
      </c>
      <c r="L14" s="37" t="s">
        <v>830</v>
      </c>
      <c r="M14" s="86">
        <v>16367</v>
      </c>
      <c r="N14" s="39">
        <v>45680</v>
      </c>
      <c r="O14" s="12">
        <v>1</v>
      </c>
      <c r="T14" s="12" t="s">
        <v>73</v>
      </c>
      <c r="V14" s="124">
        <v>13</v>
      </c>
      <c r="W14" s="124" t="s">
        <v>807</v>
      </c>
      <c r="X14" s="89">
        <v>10120</v>
      </c>
      <c r="Y14" s="124">
        <v>45614</v>
      </c>
      <c r="Z14" s="124"/>
      <c r="AA14" s="124"/>
      <c r="AB14" s="124"/>
      <c r="AC14" s="124"/>
      <c r="AD14" s="124"/>
      <c r="AF14" s="46"/>
      <c r="AG14" s="5" t="s">
        <v>631</v>
      </c>
      <c r="AH14" s="89">
        <v>19000</v>
      </c>
      <c r="AI14" s="124">
        <v>44476</v>
      </c>
      <c r="AJ14" s="122"/>
      <c r="AK14" s="122"/>
      <c r="AL14" s="122"/>
      <c r="AM14" s="122"/>
      <c r="AN14" s="122" t="s">
        <v>73</v>
      </c>
      <c r="AP14" s="46">
        <v>13</v>
      </c>
      <c r="AQ14" s="5" t="s">
        <v>780</v>
      </c>
      <c r="AR14" s="89">
        <v>4032</v>
      </c>
      <c r="AS14" s="124">
        <v>45313</v>
      </c>
      <c r="AT14" s="122">
        <v>1</v>
      </c>
      <c r="AV14" s="46">
        <v>172</v>
      </c>
      <c r="AW14" s="5" t="s">
        <v>758</v>
      </c>
      <c r="AX14" s="43">
        <v>127500</v>
      </c>
      <c r="AY14" s="45">
        <v>45519</v>
      </c>
      <c r="AZ14" s="99">
        <v>1</v>
      </c>
      <c r="BG14" s="37">
        <v>5</v>
      </c>
      <c r="BH14" s="37" t="s">
        <v>646</v>
      </c>
      <c r="BI14" s="38">
        <v>213250</v>
      </c>
      <c r="BJ14" s="83">
        <v>45604</v>
      </c>
      <c r="BK14" s="99" t="s">
        <v>647</v>
      </c>
      <c r="BL14" s="99" t="s">
        <v>617</v>
      </c>
      <c r="BM14" s="99" t="s">
        <v>617</v>
      </c>
      <c r="BN14" s="99" t="s">
        <v>617</v>
      </c>
      <c r="BO14" s="99" t="s">
        <v>73</v>
      </c>
      <c r="BQ14" s="5"/>
      <c r="BR14" s="5" t="s">
        <v>631</v>
      </c>
      <c r="BS14" s="89">
        <v>19000</v>
      </c>
      <c r="BT14" s="124">
        <v>44476</v>
      </c>
      <c r="BU14" s="122"/>
      <c r="BV14" s="122"/>
      <c r="BW14" s="122"/>
      <c r="BX14" s="122"/>
      <c r="BY14" s="122" t="s">
        <v>73</v>
      </c>
      <c r="CA14" s="90">
        <v>116</v>
      </c>
      <c r="CB14" s="90" t="s">
        <v>578</v>
      </c>
      <c r="CC14" s="90">
        <v>308116</v>
      </c>
      <c r="CD14" s="91">
        <v>45624</v>
      </c>
      <c r="CE14" s="91" t="s">
        <v>577</v>
      </c>
      <c r="CG14" s="90">
        <v>73</v>
      </c>
      <c r="CH14" s="90" t="s">
        <v>523</v>
      </c>
      <c r="CI14" s="90">
        <v>21665.52</v>
      </c>
      <c r="CJ14" s="91">
        <v>45407</v>
      </c>
      <c r="CK14" s="91">
        <v>1</v>
      </c>
      <c r="CL14" s="91"/>
      <c r="CM14" s="91"/>
      <c r="CN14" s="91"/>
      <c r="CO14" s="91"/>
      <c r="CP14" s="91" t="s">
        <v>448</v>
      </c>
      <c r="CR14">
        <v>21</v>
      </c>
      <c r="CS14" t="s">
        <v>381</v>
      </c>
      <c r="CT14">
        <v>68900</v>
      </c>
      <c r="CU14" s="12">
        <v>42034</v>
      </c>
      <c r="CW14">
        <v>2</v>
      </c>
      <c r="CX14" t="s">
        <v>298</v>
      </c>
      <c r="CY14">
        <v>5</v>
      </c>
      <c r="CZ14">
        <v>4091</v>
      </c>
      <c r="DA14" s="12">
        <v>44314</v>
      </c>
      <c r="DL14">
        <v>12</v>
      </c>
      <c r="DM14">
        <v>121</v>
      </c>
      <c r="DN14" t="s">
        <v>122</v>
      </c>
      <c r="DO14" t="s">
        <v>267</v>
      </c>
      <c r="DP14" t="s">
        <v>0</v>
      </c>
      <c r="DQ14" t="s">
        <v>250</v>
      </c>
      <c r="DT14" t="s">
        <v>264</v>
      </c>
      <c r="DW14" t="s">
        <v>265</v>
      </c>
      <c r="DY14" t="s">
        <v>266</v>
      </c>
      <c r="EB14" t="s">
        <v>259</v>
      </c>
    </row>
    <row r="15" spans="1:155">
      <c r="A15" s="32">
        <v>93</v>
      </c>
      <c r="B15" s="5" t="s">
        <v>849</v>
      </c>
      <c r="C15" s="33">
        <v>24720</v>
      </c>
      <c r="D15" s="34">
        <v>45614</v>
      </c>
      <c r="E15" s="99"/>
      <c r="F15" s="99"/>
      <c r="G15" s="99"/>
      <c r="H15" s="99"/>
      <c r="I15" s="99"/>
      <c r="J15" s="12"/>
      <c r="K15" s="36">
        <v>13</v>
      </c>
      <c r="L15" s="37" t="s">
        <v>831</v>
      </c>
      <c r="M15" s="86">
        <v>53991.3</v>
      </c>
      <c r="N15" s="39">
        <v>45356</v>
      </c>
      <c r="O15" s="12">
        <v>1</v>
      </c>
      <c r="T15" s="12" t="s">
        <v>73</v>
      </c>
      <c r="V15" s="124">
        <v>14</v>
      </c>
      <c r="W15" s="124" t="s">
        <v>808</v>
      </c>
      <c r="X15" s="89">
        <v>5290</v>
      </c>
      <c r="Y15" s="124">
        <v>45614</v>
      </c>
      <c r="Z15" s="124" t="s">
        <v>803</v>
      </c>
      <c r="AA15" s="124"/>
      <c r="AB15" s="124"/>
      <c r="AC15" s="124"/>
      <c r="AD15" s="124" t="s">
        <v>73</v>
      </c>
      <c r="AF15" s="85"/>
      <c r="AG15" s="37" t="s">
        <v>632</v>
      </c>
      <c r="AH15" s="86">
        <v>15000</v>
      </c>
      <c r="AI15" s="125">
        <v>43115</v>
      </c>
      <c r="AJ15" s="128"/>
      <c r="AK15" s="128"/>
      <c r="AL15" s="128"/>
      <c r="AM15" s="128"/>
      <c r="AN15" s="128" t="s">
        <v>73</v>
      </c>
      <c r="AP15" s="46">
        <v>14</v>
      </c>
      <c r="AQ15" s="5" t="s">
        <v>781</v>
      </c>
      <c r="AR15" s="89">
        <v>13566</v>
      </c>
      <c r="AS15" s="124">
        <v>42807</v>
      </c>
      <c r="AT15" s="122">
        <v>2</v>
      </c>
      <c r="AV15" s="46">
        <v>174</v>
      </c>
      <c r="AW15" s="5" t="s">
        <v>760</v>
      </c>
      <c r="AX15" s="89">
        <v>118333</v>
      </c>
      <c r="AY15" s="45">
        <v>45519</v>
      </c>
      <c r="AZ15" s="99">
        <v>1</v>
      </c>
      <c r="BG15" s="37">
        <v>6</v>
      </c>
      <c r="BH15" s="37" t="s">
        <v>648</v>
      </c>
      <c r="BI15" s="38">
        <v>270400</v>
      </c>
      <c r="BJ15" s="125">
        <v>41076</v>
      </c>
      <c r="BK15" s="128" t="s">
        <v>649</v>
      </c>
      <c r="BL15" s="128" t="s">
        <v>650</v>
      </c>
      <c r="BM15" s="128" t="s">
        <v>617</v>
      </c>
      <c r="BN15" s="128" t="s">
        <v>617</v>
      </c>
      <c r="BO15" s="128" t="s">
        <v>73</v>
      </c>
      <c r="BQ15" s="37"/>
      <c r="BR15" s="37" t="s">
        <v>632</v>
      </c>
      <c r="BS15" s="86">
        <v>15000</v>
      </c>
      <c r="BT15" s="125">
        <v>43115</v>
      </c>
      <c r="BU15" s="128"/>
      <c r="BV15" s="128"/>
      <c r="BW15" s="128"/>
      <c r="BX15" s="128"/>
      <c r="BY15" s="128" t="s">
        <v>73</v>
      </c>
      <c r="CA15" s="90">
        <v>117</v>
      </c>
      <c r="CB15" s="90" t="s">
        <v>579</v>
      </c>
      <c r="CC15" s="90">
        <v>448986</v>
      </c>
      <c r="CD15" s="91">
        <v>45624</v>
      </c>
      <c r="CE15" s="91" t="s">
        <v>577</v>
      </c>
      <c r="CG15" s="90">
        <v>51</v>
      </c>
      <c r="CH15" s="90" t="s">
        <v>503</v>
      </c>
      <c r="CI15" s="90">
        <v>45000</v>
      </c>
      <c r="CJ15" s="91">
        <v>41715</v>
      </c>
      <c r="CK15" s="91">
        <v>3</v>
      </c>
      <c r="CL15" s="91"/>
      <c r="CM15" s="91"/>
      <c r="CN15" s="91"/>
      <c r="CO15" s="91"/>
      <c r="CP15" s="91" t="s">
        <v>448</v>
      </c>
      <c r="CR15">
        <v>22</v>
      </c>
      <c r="CS15" t="s">
        <v>382</v>
      </c>
      <c r="CT15">
        <v>34740</v>
      </c>
      <c r="CU15" s="12">
        <v>44301</v>
      </c>
      <c r="CW15">
        <v>4</v>
      </c>
      <c r="CX15" t="s">
        <v>300</v>
      </c>
      <c r="CY15">
        <v>5</v>
      </c>
      <c r="CZ15">
        <v>5653</v>
      </c>
      <c r="DA15" s="12">
        <v>44314</v>
      </c>
      <c r="DL15">
        <v>13</v>
      </c>
      <c r="DM15">
        <v>13</v>
      </c>
      <c r="DN15" t="s">
        <v>116</v>
      </c>
      <c r="DO15" t="s">
        <v>268</v>
      </c>
      <c r="DP15" t="s">
        <v>0</v>
      </c>
      <c r="DQ15" t="s">
        <v>250</v>
      </c>
      <c r="DT15" t="s">
        <v>264</v>
      </c>
      <c r="DW15" t="s">
        <v>269</v>
      </c>
      <c r="DY15" t="s">
        <v>266</v>
      </c>
      <c r="EB15" t="s">
        <v>259</v>
      </c>
    </row>
    <row r="16" spans="1:155">
      <c r="A16" s="32">
        <v>94</v>
      </c>
      <c r="B16" s="5" t="s">
        <v>850</v>
      </c>
      <c r="C16" s="33">
        <v>24720</v>
      </c>
      <c r="D16" s="34">
        <v>45614</v>
      </c>
      <c r="E16" s="99"/>
      <c r="F16" s="99"/>
      <c r="G16" s="99"/>
      <c r="H16" s="99"/>
      <c r="I16" s="99"/>
      <c r="J16" s="12"/>
      <c r="K16" s="100">
        <v>14</v>
      </c>
      <c r="L16" s="90" t="s">
        <v>832</v>
      </c>
      <c r="M16" s="98">
        <v>70216.3</v>
      </c>
      <c r="N16" s="102">
        <v>45356</v>
      </c>
      <c r="O16" s="12">
        <v>1</v>
      </c>
      <c r="T16" s="12" t="s">
        <v>73</v>
      </c>
      <c r="V16" s="124">
        <v>15</v>
      </c>
      <c r="W16" s="124" t="s">
        <v>809</v>
      </c>
      <c r="X16" s="89">
        <v>6670</v>
      </c>
      <c r="Y16" s="124">
        <v>45614</v>
      </c>
      <c r="Z16" s="124" t="s">
        <v>803</v>
      </c>
      <c r="AA16" s="124"/>
      <c r="AB16" s="124"/>
      <c r="AC16" s="124"/>
      <c r="AD16" s="124" t="s">
        <v>73</v>
      </c>
      <c r="AF16" s="46"/>
      <c r="AG16" s="5" t="s">
        <v>633</v>
      </c>
      <c r="AH16" s="89">
        <v>80600</v>
      </c>
      <c r="AI16" s="124">
        <v>45572</v>
      </c>
      <c r="AJ16" s="128"/>
      <c r="AK16" s="128"/>
      <c r="AL16" s="128"/>
      <c r="AM16" s="128"/>
      <c r="AN16" s="128" t="s">
        <v>73</v>
      </c>
      <c r="AP16" s="46">
        <v>15</v>
      </c>
      <c r="AQ16" s="5" t="s">
        <v>782</v>
      </c>
      <c r="AR16" s="89">
        <v>12698</v>
      </c>
      <c r="AS16" s="124">
        <v>42807</v>
      </c>
      <c r="AT16" s="122">
        <v>2</v>
      </c>
      <c r="AV16" s="46">
        <v>173</v>
      </c>
      <c r="AW16" s="5" t="s">
        <v>759</v>
      </c>
      <c r="AX16" s="89">
        <v>121667</v>
      </c>
      <c r="AY16" s="45">
        <v>45519</v>
      </c>
      <c r="AZ16" s="99">
        <v>1</v>
      </c>
      <c r="BQ16" s="5"/>
      <c r="BR16" s="5" t="s">
        <v>633</v>
      </c>
      <c r="BS16" s="89">
        <v>80600</v>
      </c>
      <c r="BT16" s="124">
        <v>45572</v>
      </c>
      <c r="BU16" s="128"/>
      <c r="BV16" s="128"/>
      <c r="BW16" s="128"/>
      <c r="BX16" s="128"/>
      <c r="BY16" s="128" t="s">
        <v>73</v>
      </c>
      <c r="BZ16" s="1"/>
      <c r="CA16" s="90">
        <v>118</v>
      </c>
      <c r="CB16" s="90" t="s">
        <v>580</v>
      </c>
      <c r="CC16" s="90">
        <v>56085</v>
      </c>
      <c r="CD16" s="91">
        <v>43342</v>
      </c>
      <c r="CE16" s="91" t="s">
        <v>577</v>
      </c>
      <c r="CG16" s="90">
        <v>40</v>
      </c>
      <c r="CH16" s="90" t="s">
        <v>495</v>
      </c>
      <c r="CI16" s="90">
        <v>44103</v>
      </c>
      <c r="CJ16" s="91">
        <v>41304</v>
      </c>
      <c r="CK16" s="91">
        <v>2</v>
      </c>
      <c r="CL16" s="91"/>
      <c r="CM16" s="91"/>
      <c r="CN16" s="91"/>
      <c r="CO16" s="91"/>
      <c r="CP16" s="91" t="s">
        <v>448</v>
      </c>
      <c r="CR16">
        <v>23</v>
      </c>
      <c r="CS16" t="s">
        <v>383</v>
      </c>
      <c r="CT16">
        <v>51848.37</v>
      </c>
      <c r="CU16" s="12">
        <v>45736</v>
      </c>
      <c r="CW16">
        <v>8</v>
      </c>
      <c r="CX16" t="s">
        <v>302</v>
      </c>
      <c r="CY16">
        <v>5</v>
      </c>
      <c r="CZ16">
        <v>18000.580000000002</v>
      </c>
      <c r="DA16" s="12">
        <v>40909</v>
      </c>
      <c r="DL16">
        <v>14</v>
      </c>
      <c r="DM16">
        <v>14</v>
      </c>
      <c r="DN16" t="s">
        <v>116</v>
      </c>
      <c r="DO16" t="s">
        <v>270</v>
      </c>
      <c r="DP16" t="s">
        <v>0</v>
      </c>
      <c r="DQ16" t="s">
        <v>250</v>
      </c>
      <c r="DT16" t="s">
        <v>264</v>
      </c>
      <c r="DY16" t="s">
        <v>266</v>
      </c>
      <c r="EB16" t="s">
        <v>259</v>
      </c>
    </row>
    <row r="17" spans="1:134">
      <c r="A17" s="32">
        <v>95</v>
      </c>
      <c r="B17" s="5" t="s">
        <v>851</v>
      </c>
      <c r="C17" s="33">
        <v>24720</v>
      </c>
      <c r="D17" s="34">
        <v>45614</v>
      </c>
      <c r="E17" s="99"/>
      <c r="F17" s="99"/>
      <c r="G17" s="99"/>
      <c r="H17" s="99"/>
      <c r="I17" s="99"/>
      <c r="J17" s="12"/>
      <c r="K17" s="100">
        <v>17</v>
      </c>
      <c r="L17" s="90" t="s">
        <v>833</v>
      </c>
      <c r="M17" s="98">
        <v>24200</v>
      </c>
      <c r="N17" s="102">
        <v>41711</v>
      </c>
      <c r="T17" s="12" t="s">
        <v>73</v>
      </c>
      <c r="V17" s="124">
        <v>16</v>
      </c>
      <c r="W17" s="124" t="s">
        <v>810</v>
      </c>
      <c r="X17" s="89">
        <v>8970</v>
      </c>
      <c r="Y17" s="124">
        <v>45614</v>
      </c>
      <c r="Z17" s="124" t="s">
        <v>803</v>
      </c>
      <c r="AA17" s="124"/>
      <c r="AB17" s="124"/>
      <c r="AC17" s="124"/>
      <c r="AD17" s="124" t="s">
        <v>73</v>
      </c>
      <c r="AF17" s="85"/>
      <c r="AG17" s="37" t="s">
        <v>634</v>
      </c>
      <c r="AH17" s="86">
        <v>80600</v>
      </c>
      <c r="AI17" s="125">
        <v>45572</v>
      </c>
      <c r="AJ17" s="128"/>
      <c r="AK17" s="128"/>
      <c r="AL17" s="128"/>
      <c r="AM17" s="128"/>
      <c r="AN17" s="128" t="s">
        <v>73</v>
      </c>
      <c r="AP17" s="85">
        <v>16</v>
      </c>
      <c r="AQ17" s="37" t="s">
        <v>783</v>
      </c>
      <c r="AR17" s="86">
        <v>1690</v>
      </c>
      <c r="AS17" s="125">
        <v>43224</v>
      </c>
      <c r="AT17" s="128"/>
      <c r="AV17" s="46">
        <v>24</v>
      </c>
      <c r="AW17" s="5" t="s">
        <v>683</v>
      </c>
      <c r="AX17" s="89">
        <v>10000</v>
      </c>
      <c r="AY17" s="45">
        <v>41068</v>
      </c>
      <c r="AZ17" s="99"/>
      <c r="BQ17" s="37"/>
      <c r="BR17" s="37" t="s">
        <v>634</v>
      </c>
      <c r="BS17" s="86">
        <v>80600</v>
      </c>
      <c r="BT17" s="125">
        <v>45572</v>
      </c>
      <c r="BU17" s="128"/>
      <c r="BV17" s="128"/>
      <c r="BW17" s="128"/>
      <c r="BX17" s="128"/>
      <c r="BY17" s="128" t="s">
        <v>73</v>
      </c>
      <c r="BZ17" s="1"/>
      <c r="CA17" s="90">
        <v>119</v>
      </c>
      <c r="CB17" s="90" t="s">
        <v>581</v>
      </c>
      <c r="CC17" s="90">
        <v>207500</v>
      </c>
      <c r="CD17" s="91">
        <v>41432</v>
      </c>
      <c r="CE17" s="91" t="s">
        <v>577</v>
      </c>
      <c r="CG17" s="90">
        <v>52</v>
      </c>
      <c r="CH17" s="90" t="s">
        <v>504</v>
      </c>
      <c r="CI17" s="90">
        <v>11500</v>
      </c>
      <c r="CJ17" s="91">
        <v>44714</v>
      </c>
      <c r="CK17" s="91"/>
      <c r="CL17" s="91"/>
      <c r="CM17" s="91"/>
      <c r="CN17" s="91"/>
      <c r="CO17" s="91"/>
      <c r="CP17" s="91" t="s">
        <v>448</v>
      </c>
      <c r="CR17">
        <v>24</v>
      </c>
      <c r="CS17" t="s">
        <v>384</v>
      </c>
      <c r="CT17">
        <v>32073.93</v>
      </c>
      <c r="CU17" s="12">
        <v>45736</v>
      </c>
      <c r="CW17">
        <v>3</v>
      </c>
      <c r="CX17" t="s">
        <v>299</v>
      </c>
      <c r="CY17">
        <v>5</v>
      </c>
      <c r="CZ17">
        <v>6113</v>
      </c>
      <c r="DA17" s="12">
        <v>45406</v>
      </c>
      <c r="DL17">
        <v>15</v>
      </c>
      <c r="DM17">
        <v>15</v>
      </c>
      <c r="DN17" t="s">
        <v>116</v>
      </c>
      <c r="DO17" t="s">
        <v>271</v>
      </c>
      <c r="DP17" t="s">
        <v>17</v>
      </c>
      <c r="DQ17" t="s">
        <v>250</v>
      </c>
      <c r="DZ17" t="s">
        <v>272</v>
      </c>
      <c r="EA17" t="s">
        <v>260</v>
      </c>
    </row>
    <row r="18" spans="1:134">
      <c r="A18" s="32">
        <v>96</v>
      </c>
      <c r="B18" s="5" t="s">
        <v>852</v>
      </c>
      <c r="C18" s="33">
        <v>24720</v>
      </c>
      <c r="D18" s="34">
        <v>45614</v>
      </c>
      <c r="E18" s="99"/>
      <c r="F18" s="99"/>
      <c r="G18" s="99"/>
      <c r="H18" s="99"/>
      <c r="I18" s="99"/>
      <c r="J18" s="12"/>
      <c r="K18" s="100">
        <v>18</v>
      </c>
      <c r="L18" s="90" t="s">
        <v>834</v>
      </c>
      <c r="M18" s="98">
        <v>24200</v>
      </c>
      <c r="N18" s="102">
        <v>41711</v>
      </c>
      <c r="T18" s="12" t="s">
        <v>73</v>
      </c>
      <c r="V18" s="125">
        <v>17</v>
      </c>
      <c r="W18" s="125" t="s">
        <v>254</v>
      </c>
      <c r="X18" s="86">
        <v>5060</v>
      </c>
      <c r="Y18" s="125">
        <v>45614</v>
      </c>
      <c r="Z18" s="125"/>
      <c r="AA18" s="125"/>
      <c r="AB18" s="125"/>
      <c r="AC18" s="125"/>
      <c r="AD18" s="125"/>
      <c r="AF18" s="46"/>
      <c r="AG18" s="5" t="s">
        <v>635</v>
      </c>
      <c r="AH18" s="89">
        <v>92690</v>
      </c>
      <c r="AI18" s="124">
        <v>45614</v>
      </c>
      <c r="AJ18" s="128"/>
      <c r="AK18" s="128"/>
      <c r="AL18" s="128"/>
      <c r="AM18" s="128"/>
      <c r="AN18" s="128" t="s">
        <v>73</v>
      </c>
      <c r="AP18" s="46">
        <v>17</v>
      </c>
      <c r="AQ18" s="5" t="s">
        <v>784</v>
      </c>
      <c r="AR18" s="89">
        <v>1900</v>
      </c>
      <c r="AS18" s="124">
        <v>45693</v>
      </c>
      <c r="AT18" s="128">
        <v>1</v>
      </c>
      <c r="AV18" s="46">
        <v>141</v>
      </c>
      <c r="AW18" s="5" t="s">
        <v>739</v>
      </c>
      <c r="AX18" s="43">
        <v>35000</v>
      </c>
      <c r="AY18" s="45">
        <v>42611</v>
      </c>
      <c r="AZ18" s="99">
        <v>2</v>
      </c>
      <c r="BQ18" s="5"/>
      <c r="BR18" s="5" t="s">
        <v>635</v>
      </c>
      <c r="BS18" s="89">
        <v>92690</v>
      </c>
      <c r="BT18" s="124">
        <v>45614</v>
      </c>
      <c r="BU18" s="128"/>
      <c r="BV18" s="128"/>
      <c r="BW18" s="128"/>
      <c r="BX18" s="128"/>
      <c r="BY18" s="128" t="s">
        <v>73</v>
      </c>
      <c r="BZ18" s="1"/>
      <c r="CA18" s="90">
        <v>120</v>
      </c>
      <c r="CB18" s="90" t="s">
        <v>582</v>
      </c>
      <c r="CC18" s="90">
        <v>272600</v>
      </c>
      <c r="CD18" s="91">
        <v>45882</v>
      </c>
      <c r="CE18" s="91" t="s">
        <v>577</v>
      </c>
      <c r="CG18" s="90">
        <v>7</v>
      </c>
      <c r="CH18" s="90" t="s">
        <v>453</v>
      </c>
      <c r="CI18" s="90">
        <v>1596</v>
      </c>
      <c r="CJ18" s="91">
        <v>44407</v>
      </c>
      <c r="CK18" s="91"/>
      <c r="CL18" s="91" t="s">
        <v>454</v>
      </c>
      <c r="CM18" s="91" t="s">
        <v>455</v>
      </c>
      <c r="CN18" s="91" t="s">
        <v>456</v>
      </c>
      <c r="CO18" s="91" t="s">
        <v>457</v>
      </c>
      <c r="CP18" s="91" t="s">
        <v>448</v>
      </c>
      <c r="CR18">
        <v>25</v>
      </c>
      <c r="CS18" t="s">
        <v>385</v>
      </c>
      <c r="CT18">
        <v>37680</v>
      </c>
      <c r="CU18" s="12">
        <v>43285</v>
      </c>
      <c r="CW18">
        <v>6</v>
      </c>
      <c r="CX18" t="s">
        <v>301</v>
      </c>
      <c r="CY18">
        <v>5</v>
      </c>
      <c r="CZ18">
        <v>8926.32</v>
      </c>
      <c r="DA18" s="12">
        <v>40909</v>
      </c>
      <c r="DL18">
        <v>16</v>
      </c>
      <c r="DM18">
        <v>31</v>
      </c>
      <c r="DN18" t="s">
        <v>116</v>
      </c>
      <c r="DO18" t="s">
        <v>119</v>
      </c>
      <c r="DP18" t="s">
        <v>273</v>
      </c>
      <c r="DW18" t="s">
        <v>269</v>
      </c>
    </row>
    <row r="19" spans="1:134">
      <c r="A19" s="32">
        <v>97</v>
      </c>
      <c r="B19" s="5" t="s">
        <v>853</v>
      </c>
      <c r="C19" s="33">
        <v>24720</v>
      </c>
      <c r="D19" s="34">
        <v>45614</v>
      </c>
      <c r="E19" s="99"/>
      <c r="F19" s="99"/>
      <c r="G19" s="99"/>
      <c r="H19" s="99"/>
      <c r="I19" s="99"/>
      <c r="J19" s="12"/>
      <c r="K19" s="100">
        <v>19</v>
      </c>
      <c r="L19" s="90" t="s">
        <v>835</v>
      </c>
      <c r="M19" s="98">
        <v>45050.8</v>
      </c>
      <c r="N19" s="126">
        <v>45702</v>
      </c>
      <c r="O19" s="128"/>
      <c r="P19" s="128"/>
      <c r="Q19" s="128"/>
      <c r="R19" s="128"/>
      <c r="S19" s="128"/>
      <c r="T19" s="128" t="s">
        <v>73</v>
      </c>
      <c r="AF19" s="85"/>
      <c r="AG19" s="37" t="s">
        <v>636</v>
      </c>
      <c r="AH19" s="86">
        <v>92690</v>
      </c>
      <c r="AI19" s="125">
        <v>45614</v>
      </c>
      <c r="AJ19" s="128"/>
      <c r="AK19" s="128"/>
      <c r="AL19" s="128"/>
      <c r="AM19" s="128"/>
      <c r="AN19" s="128" t="s">
        <v>73</v>
      </c>
      <c r="AP19" s="85">
        <v>18</v>
      </c>
      <c r="AQ19" s="37" t="s">
        <v>785</v>
      </c>
      <c r="AR19" s="86">
        <v>1900</v>
      </c>
      <c r="AS19" s="125">
        <v>45693</v>
      </c>
      <c r="AT19" s="128">
        <v>1</v>
      </c>
      <c r="AV19" s="85">
        <v>29</v>
      </c>
      <c r="AW19" s="37" t="s">
        <v>687</v>
      </c>
      <c r="AX19" s="44">
        <v>47500</v>
      </c>
      <c r="AY19" s="83">
        <v>40959</v>
      </c>
      <c r="AZ19" s="99"/>
      <c r="BQ19" s="37"/>
      <c r="BR19" s="37" t="s">
        <v>636</v>
      </c>
      <c r="BS19" s="86">
        <v>92690</v>
      </c>
      <c r="BT19" s="125">
        <v>45614</v>
      </c>
      <c r="BU19" s="128"/>
      <c r="BV19" s="128"/>
      <c r="BW19" s="128"/>
      <c r="BX19" s="128"/>
      <c r="BY19" s="128" t="s">
        <v>73</v>
      </c>
      <c r="BZ19" s="1"/>
      <c r="CA19" s="90">
        <v>121</v>
      </c>
      <c r="CB19" s="90" t="s">
        <v>583</v>
      </c>
      <c r="CC19" s="90">
        <v>296200</v>
      </c>
      <c r="CD19" s="91">
        <v>45882</v>
      </c>
      <c r="CE19" s="91" t="s">
        <v>577</v>
      </c>
      <c r="CG19" s="90">
        <v>97</v>
      </c>
      <c r="CH19" s="90" t="s">
        <v>546</v>
      </c>
      <c r="CI19" s="90">
        <v>1526</v>
      </c>
      <c r="CJ19" s="91">
        <v>44460</v>
      </c>
      <c r="CK19" s="91"/>
      <c r="CL19" s="91"/>
      <c r="CM19" s="91"/>
      <c r="CN19" s="91"/>
      <c r="CO19" s="91"/>
      <c r="CP19" s="91" t="s">
        <v>448</v>
      </c>
      <c r="CR19">
        <v>26</v>
      </c>
      <c r="CS19" t="s">
        <v>386</v>
      </c>
      <c r="CT19">
        <v>16660</v>
      </c>
      <c r="CU19" s="109">
        <v>45736</v>
      </c>
      <c r="CW19">
        <v>9</v>
      </c>
      <c r="CX19" t="s">
        <v>303</v>
      </c>
      <c r="CY19">
        <v>5</v>
      </c>
      <c r="CZ19">
        <v>20000.36</v>
      </c>
      <c r="DA19" s="12">
        <v>40909</v>
      </c>
      <c r="DL19">
        <v>17</v>
      </c>
      <c r="DM19">
        <v>41</v>
      </c>
      <c r="DN19" t="s">
        <v>116</v>
      </c>
      <c r="DO19" t="s">
        <v>18</v>
      </c>
      <c r="DP19" t="s">
        <v>255</v>
      </c>
      <c r="DQ19" t="s">
        <v>250</v>
      </c>
      <c r="DR19" t="s">
        <v>251</v>
      </c>
      <c r="DT19" t="s">
        <v>274</v>
      </c>
      <c r="DU19">
        <v>2</v>
      </c>
      <c r="DV19" t="s">
        <v>253</v>
      </c>
    </row>
    <row r="20" spans="1:134">
      <c r="A20" s="35">
        <v>98</v>
      </c>
      <c r="B20" s="5" t="s">
        <v>854</v>
      </c>
      <c r="C20" s="33">
        <v>24720</v>
      </c>
      <c r="D20" s="34">
        <v>45614</v>
      </c>
      <c r="E20" s="99"/>
      <c r="F20" s="99"/>
      <c r="G20" s="99"/>
      <c r="H20" s="99"/>
      <c r="I20" s="99"/>
      <c r="J20" s="12"/>
      <c r="K20" s="100">
        <v>20</v>
      </c>
      <c r="L20" s="90" t="s">
        <v>836</v>
      </c>
      <c r="M20" s="98">
        <v>75900</v>
      </c>
      <c r="N20" s="149">
        <v>45702</v>
      </c>
      <c r="O20" s="150"/>
      <c r="P20" s="150"/>
      <c r="Q20" s="150"/>
      <c r="R20" s="150"/>
      <c r="S20" s="150"/>
      <c r="T20" s="150" t="s">
        <v>73</v>
      </c>
      <c r="AF20" s="85"/>
      <c r="AG20" s="37" t="s">
        <v>637</v>
      </c>
      <c r="AH20" s="86">
        <v>97865</v>
      </c>
      <c r="AI20" s="125">
        <v>45614</v>
      </c>
      <c r="AJ20" s="128"/>
      <c r="AK20" s="128"/>
      <c r="AL20" s="128"/>
      <c r="AM20" s="128"/>
      <c r="AN20" s="128" t="s">
        <v>73</v>
      </c>
      <c r="AV20" s="46">
        <v>30</v>
      </c>
      <c r="AW20" s="5" t="s">
        <v>688</v>
      </c>
      <c r="AX20" s="43">
        <v>24698</v>
      </c>
      <c r="AY20" s="45">
        <v>40959</v>
      </c>
      <c r="AZ20" s="99"/>
      <c r="BQ20" s="37"/>
      <c r="BR20" s="37" t="s">
        <v>637</v>
      </c>
      <c r="BS20" s="86">
        <v>97865</v>
      </c>
      <c r="BT20" s="125">
        <v>45614</v>
      </c>
      <c r="BU20" s="128"/>
      <c r="BV20" s="128"/>
      <c r="BW20" s="128"/>
      <c r="BX20" s="128"/>
      <c r="BY20" s="128" t="s">
        <v>73</v>
      </c>
      <c r="BZ20" s="1"/>
      <c r="CA20" s="90">
        <v>122</v>
      </c>
      <c r="CB20" s="90" t="s">
        <v>584</v>
      </c>
      <c r="CC20" s="90">
        <v>261000</v>
      </c>
      <c r="CD20" s="91">
        <v>45882</v>
      </c>
      <c r="CE20" s="91" t="s">
        <v>577</v>
      </c>
      <c r="CG20" s="90">
        <v>19</v>
      </c>
      <c r="CH20" s="90" t="s">
        <v>471</v>
      </c>
      <c r="CI20" s="90">
        <v>8112.5</v>
      </c>
      <c r="CJ20" s="91">
        <v>41109</v>
      </c>
      <c r="CK20" s="91"/>
      <c r="CL20" s="91"/>
      <c r="CM20" s="91"/>
      <c r="CN20" s="91"/>
      <c r="CO20" s="91"/>
      <c r="CP20" s="91" t="s">
        <v>448</v>
      </c>
      <c r="CR20">
        <v>27</v>
      </c>
      <c r="CS20" t="s">
        <v>387</v>
      </c>
      <c r="CT20">
        <v>16660</v>
      </c>
      <c r="CU20" s="122">
        <v>45736</v>
      </c>
      <c r="CW20">
        <v>61</v>
      </c>
      <c r="CX20" t="s">
        <v>351</v>
      </c>
      <c r="CY20">
        <v>5</v>
      </c>
      <c r="CZ20">
        <v>13480</v>
      </c>
      <c r="DA20" s="12">
        <v>44314</v>
      </c>
      <c r="DL20">
        <v>18</v>
      </c>
      <c r="DM20">
        <v>122</v>
      </c>
      <c r="DN20" t="s">
        <v>116</v>
      </c>
      <c r="DO20" t="s">
        <v>275</v>
      </c>
      <c r="DP20" t="s">
        <v>0</v>
      </c>
      <c r="DQ20" t="s">
        <v>250</v>
      </c>
      <c r="DT20" t="s">
        <v>264</v>
      </c>
      <c r="DY20" t="s">
        <v>266</v>
      </c>
      <c r="EB20" t="s">
        <v>259</v>
      </c>
    </row>
    <row r="21" spans="1:134">
      <c r="A21" s="35">
        <v>99</v>
      </c>
      <c r="B21" s="5" t="s">
        <v>855</v>
      </c>
      <c r="C21" s="33">
        <v>24720</v>
      </c>
      <c r="D21" s="34">
        <v>45614</v>
      </c>
      <c r="E21" s="99"/>
      <c r="F21" s="99"/>
      <c r="G21" s="99"/>
      <c r="H21" s="99"/>
      <c r="I21" s="99"/>
      <c r="J21" s="12"/>
      <c r="AF21" s="85"/>
      <c r="AG21" s="37" t="s">
        <v>638</v>
      </c>
      <c r="AH21" s="86">
        <v>97865</v>
      </c>
      <c r="AI21" s="125">
        <v>45614</v>
      </c>
      <c r="AJ21" s="128"/>
      <c r="AK21" s="128"/>
      <c r="AL21" s="128"/>
      <c r="AM21" s="128"/>
      <c r="AN21" s="128" t="s">
        <v>73</v>
      </c>
      <c r="AV21" s="46">
        <v>164</v>
      </c>
      <c r="AW21" s="45" t="s">
        <v>753</v>
      </c>
      <c r="AX21" s="43">
        <v>78960</v>
      </c>
      <c r="AY21" s="45">
        <v>44945</v>
      </c>
      <c r="AZ21" s="99">
        <v>1</v>
      </c>
      <c r="BQ21" s="37"/>
      <c r="BR21" s="37" t="s">
        <v>638</v>
      </c>
      <c r="BS21" s="86">
        <v>97865</v>
      </c>
      <c r="BT21" s="125">
        <v>45614</v>
      </c>
      <c r="BU21" s="128"/>
      <c r="BV21" s="128"/>
      <c r="BW21" s="128"/>
      <c r="BX21" s="128"/>
      <c r="BY21" s="128" t="s">
        <v>73</v>
      </c>
      <c r="CA21" s="90">
        <v>123</v>
      </c>
      <c r="CB21" s="90" t="s">
        <v>585</v>
      </c>
      <c r="CC21" s="90">
        <v>386685</v>
      </c>
      <c r="CD21" s="91">
        <v>45882</v>
      </c>
      <c r="CE21" s="91" t="s">
        <v>577</v>
      </c>
      <c r="CG21" s="90">
        <v>27</v>
      </c>
      <c r="CH21" s="90" t="s">
        <v>480</v>
      </c>
      <c r="CI21" s="90">
        <v>11127.14</v>
      </c>
      <c r="CJ21" s="91">
        <v>42068</v>
      </c>
      <c r="CK21" s="91"/>
      <c r="CL21" s="91"/>
      <c r="CM21" s="91"/>
      <c r="CN21" s="91"/>
      <c r="CO21" s="91"/>
      <c r="CP21" s="91" t="s">
        <v>448</v>
      </c>
      <c r="CR21">
        <v>28</v>
      </c>
      <c r="CS21" t="s">
        <v>388</v>
      </c>
      <c r="CT21">
        <v>16660</v>
      </c>
      <c r="CU21" s="122">
        <v>45736</v>
      </c>
      <c r="CW21">
        <v>1</v>
      </c>
      <c r="CX21" t="s">
        <v>297</v>
      </c>
      <c r="CY21">
        <v>5</v>
      </c>
      <c r="CZ21">
        <v>2302</v>
      </c>
      <c r="DA21" s="12">
        <v>44314</v>
      </c>
      <c r="DL21">
        <v>19</v>
      </c>
      <c r="DM21">
        <v>151</v>
      </c>
      <c r="DN21" t="s">
        <v>116</v>
      </c>
      <c r="DO21" t="s">
        <v>276</v>
      </c>
      <c r="DP21" t="s">
        <v>17</v>
      </c>
      <c r="DQ21" t="s">
        <v>250</v>
      </c>
      <c r="DZ21" t="s">
        <v>277</v>
      </c>
      <c r="EA21" t="s">
        <v>260</v>
      </c>
    </row>
    <row r="22" spans="1:134">
      <c r="A22" s="35">
        <v>100</v>
      </c>
      <c r="B22" s="5" t="s">
        <v>856</v>
      </c>
      <c r="C22" s="33">
        <v>24720</v>
      </c>
      <c r="D22" s="34">
        <v>45614</v>
      </c>
      <c r="E22" s="99"/>
      <c r="F22" s="99"/>
      <c r="G22" s="99"/>
      <c r="H22" s="99"/>
      <c r="I22" s="99"/>
      <c r="J22" s="12"/>
      <c r="AV22" s="46">
        <v>38</v>
      </c>
      <c r="AW22" s="5" t="s">
        <v>695</v>
      </c>
      <c r="AX22" s="89">
        <v>107376</v>
      </c>
      <c r="AY22" s="45">
        <v>44945</v>
      </c>
      <c r="AZ22" s="99">
        <v>1</v>
      </c>
      <c r="CA22" s="90">
        <v>124</v>
      </c>
      <c r="CB22" s="90" t="s">
        <v>586</v>
      </c>
      <c r="CC22" s="90">
        <v>240230</v>
      </c>
      <c r="CD22" s="91">
        <v>43360</v>
      </c>
      <c r="CE22" s="91" t="s">
        <v>577</v>
      </c>
      <c r="CG22" s="90">
        <v>3</v>
      </c>
      <c r="CH22" s="90" t="s">
        <v>449</v>
      </c>
      <c r="CI22" s="90">
        <v>6142.5</v>
      </c>
      <c r="CJ22" s="91">
        <v>41261</v>
      </c>
      <c r="CK22" s="91"/>
      <c r="CL22" s="91"/>
      <c r="CM22" s="91"/>
      <c r="CN22" s="91"/>
      <c r="CO22" s="91"/>
      <c r="CP22" s="91" t="s">
        <v>448</v>
      </c>
      <c r="CR22">
        <v>29</v>
      </c>
      <c r="CS22" t="s">
        <v>389</v>
      </c>
      <c r="CT22">
        <v>16660</v>
      </c>
      <c r="CU22" s="122">
        <v>45736</v>
      </c>
      <c r="CW22">
        <v>77</v>
      </c>
      <c r="CX22" t="s">
        <v>367</v>
      </c>
      <c r="CY22">
        <v>5</v>
      </c>
      <c r="CZ22">
        <v>18616</v>
      </c>
      <c r="DA22" s="12">
        <v>45310</v>
      </c>
      <c r="DL22">
        <v>21</v>
      </c>
      <c r="DM22">
        <v>241</v>
      </c>
      <c r="DN22" t="s">
        <v>116</v>
      </c>
      <c r="DO22" t="s">
        <v>278</v>
      </c>
      <c r="DP22" t="s">
        <v>279</v>
      </c>
      <c r="DQ22" t="s">
        <v>250</v>
      </c>
    </row>
    <row r="23" spans="1:134">
      <c r="A23" s="36">
        <v>101</v>
      </c>
      <c r="B23" s="37" t="s">
        <v>857</v>
      </c>
      <c r="C23" s="38">
        <v>24720</v>
      </c>
      <c r="D23" s="39">
        <v>45614</v>
      </c>
      <c r="E23" s="99"/>
      <c r="F23" s="99"/>
      <c r="G23" s="99"/>
      <c r="H23" s="99"/>
      <c r="I23" s="99"/>
      <c r="J23" s="12"/>
      <c r="AV23" s="46">
        <v>62</v>
      </c>
      <c r="AW23" s="5" t="s">
        <v>704</v>
      </c>
      <c r="AX23" s="89">
        <v>107376</v>
      </c>
      <c r="AY23" s="45">
        <v>44945</v>
      </c>
      <c r="AZ23" s="99">
        <v>1</v>
      </c>
      <c r="CA23" s="90">
        <v>126</v>
      </c>
      <c r="CB23" s="90" t="s">
        <v>587</v>
      </c>
      <c r="CC23" s="90">
        <v>493479</v>
      </c>
      <c r="CD23" s="91">
        <v>45624</v>
      </c>
      <c r="CE23" s="91" t="s">
        <v>577</v>
      </c>
      <c r="CG23" s="90">
        <v>6</v>
      </c>
      <c r="CH23" s="90" t="s">
        <v>452</v>
      </c>
      <c r="CI23" s="90">
        <v>12900</v>
      </c>
      <c r="CJ23" s="91">
        <v>44662</v>
      </c>
      <c r="CK23" s="91"/>
      <c r="CL23" s="91"/>
      <c r="CM23" s="91"/>
      <c r="CN23" s="91"/>
      <c r="CO23" s="91"/>
      <c r="CP23" s="91" t="s">
        <v>448</v>
      </c>
      <c r="CR23">
        <v>31</v>
      </c>
      <c r="CS23" t="s">
        <v>390</v>
      </c>
      <c r="CT23">
        <v>37680</v>
      </c>
      <c r="CU23" s="122">
        <v>44301</v>
      </c>
      <c r="CW23">
        <v>57</v>
      </c>
      <c r="CX23" t="s">
        <v>347</v>
      </c>
      <c r="CY23">
        <v>5</v>
      </c>
      <c r="CZ23">
        <v>6250</v>
      </c>
      <c r="DA23" s="12">
        <v>44314</v>
      </c>
      <c r="DL23">
        <v>22</v>
      </c>
      <c r="DM23">
        <v>282</v>
      </c>
      <c r="DN23" t="s">
        <v>116</v>
      </c>
      <c r="DO23" t="s">
        <v>280</v>
      </c>
      <c r="DP23" t="s">
        <v>281</v>
      </c>
      <c r="DQ23" t="s">
        <v>250</v>
      </c>
      <c r="ED23" t="s">
        <v>90</v>
      </c>
    </row>
    <row r="24" spans="1:134">
      <c r="A24" s="35">
        <v>102</v>
      </c>
      <c r="B24" s="5" t="s">
        <v>858</v>
      </c>
      <c r="C24" s="33">
        <v>24720</v>
      </c>
      <c r="D24" s="34">
        <v>45614</v>
      </c>
      <c r="E24" s="99"/>
      <c r="F24" s="99"/>
      <c r="G24" s="99"/>
      <c r="H24" s="99"/>
      <c r="I24" s="99"/>
      <c r="AV24" s="46">
        <v>63</v>
      </c>
      <c r="AW24" s="45" t="s">
        <v>705</v>
      </c>
      <c r="AX24" s="43">
        <v>107376</v>
      </c>
      <c r="AY24" s="45">
        <v>44945</v>
      </c>
      <c r="AZ24" s="99">
        <v>1</v>
      </c>
      <c r="CA24" s="90">
        <v>135</v>
      </c>
      <c r="CB24" s="90" t="s">
        <v>588</v>
      </c>
      <c r="CC24" s="90">
        <v>29200</v>
      </c>
      <c r="CD24" s="91">
        <v>41233</v>
      </c>
      <c r="CE24" s="91" t="s">
        <v>589</v>
      </c>
      <c r="CG24" s="90">
        <v>117</v>
      </c>
      <c r="CH24" s="90" t="s">
        <v>562</v>
      </c>
      <c r="CI24" s="90">
        <v>6530</v>
      </c>
      <c r="CJ24" s="91">
        <v>45904</v>
      </c>
      <c r="CK24" s="91"/>
      <c r="CL24" s="91"/>
      <c r="CM24" s="91"/>
      <c r="CN24" s="91"/>
      <c r="CO24" s="91"/>
      <c r="CP24" s="91" t="s">
        <v>448</v>
      </c>
      <c r="CR24">
        <v>32</v>
      </c>
      <c r="CS24" t="s">
        <v>391</v>
      </c>
      <c r="CT24">
        <v>128902.095</v>
      </c>
      <c r="CU24" s="122">
        <v>45736</v>
      </c>
      <c r="CW24">
        <v>58</v>
      </c>
      <c r="CX24" t="s">
        <v>348</v>
      </c>
      <c r="CY24">
        <v>5</v>
      </c>
      <c r="CZ24">
        <v>10031</v>
      </c>
      <c r="DA24" s="12">
        <v>44314</v>
      </c>
      <c r="DL24">
        <v>23</v>
      </c>
      <c r="DM24">
        <v>283</v>
      </c>
      <c r="DN24" t="s">
        <v>116</v>
      </c>
      <c r="DO24" t="s">
        <v>89</v>
      </c>
      <c r="DP24" t="s">
        <v>281</v>
      </c>
      <c r="DQ24" t="s">
        <v>250</v>
      </c>
      <c r="ED24" t="s">
        <v>90</v>
      </c>
    </row>
    <row r="25" spans="1:134">
      <c r="A25" s="35">
        <v>103</v>
      </c>
      <c r="B25" s="5" t="s">
        <v>859</v>
      </c>
      <c r="C25" s="33">
        <v>24720</v>
      </c>
      <c r="D25" s="34">
        <v>45614</v>
      </c>
      <c r="E25" s="99"/>
      <c r="F25" s="99"/>
      <c r="G25" s="99"/>
      <c r="H25" s="99"/>
      <c r="I25" s="99"/>
      <c r="AV25" s="85">
        <v>37</v>
      </c>
      <c r="AW25" s="83" t="s">
        <v>694</v>
      </c>
      <c r="AX25" s="44">
        <v>107376</v>
      </c>
      <c r="AY25" s="83">
        <v>44945</v>
      </c>
      <c r="AZ25" s="99">
        <v>1</v>
      </c>
      <c r="CA25" s="90">
        <v>136</v>
      </c>
      <c r="CB25" s="90" t="s">
        <v>590</v>
      </c>
      <c r="CC25" s="90">
        <v>141629.20000000001</v>
      </c>
      <c r="CD25" s="91">
        <v>43514</v>
      </c>
      <c r="CE25" s="91" t="s">
        <v>589</v>
      </c>
      <c r="CG25" s="90">
        <v>2</v>
      </c>
      <c r="CH25" s="90" t="s">
        <v>446</v>
      </c>
      <c r="CI25" s="90">
        <v>10845</v>
      </c>
      <c r="CJ25" s="91">
        <v>41261</v>
      </c>
      <c r="CK25" s="91"/>
      <c r="CL25" s="91" t="s">
        <v>447</v>
      </c>
      <c r="CM25" s="91"/>
      <c r="CN25" s="91"/>
      <c r="CO25" s="91"/>
      <c r="CP25" s="91" t="s">
        <v>448</v>
      </c>
      <c r="CR25">
        <v>33</v>
      </c>
      <c r="CS25" t="s">
        <v>392</v>
      </c>
      <c r="CT25">
        <v>128902.095</v>
      </c>
      <c r="CU25" s="122">
        <v>45736</v>
      </c>
      <c r="CW25">
        <v>72</v>
      </c>
      <c r="CX25" t="s">
        <v>362</v>
      </c>
      <c r="CY25">
        <v>5</v>
      </c>
      <c r="CZ25">
        <v>17540</v>
      </c>
      <c r="DA25" s="12">
        <v>45406</v>
      </c>
      <c r="DL25">
        <v>24</v>
      </c>
      <c r="DM25">
        <v>32</v>
      </c>
      <c r="DN25" t="s">
        <v>116</v>
      </c>
      <c r="DO25" t="s">
        <v>119</v>
      </c>
      <c r="DP25" t="s">
        <v>273</v>
      </c>
      <c r="DW25" t="s">
        <v>269</v>
      </c>
    </row>
    <row r="26" spans="1:134">
      <c r="A26" s="35">
        <v>104</v>
      </c>
      <c r="B26" s="5" t="s">
        <v>860</v>
      </c>
      <c r="C26" s="33">
        <v>24720</v>
      </c>
      <c r="D26" s="34">
        <v>45614</v>
      </c>
      <c r="E26" s="99"/>
      <c r="F26" s="99"/>
      <c r="G26" s="99"/>
      <c r="H26" s="99"/>
      <c r="I26" s="99"/>
      <c r="AV26" s="46">
        <v>89</v>
      </c>
      <c r="AW26" s="5" t="s">
        <v>714</v>
      </c>
      <c r="AX26" s="43">
        <v>107376</v>
      </c>
      <c r="AY26" s="45">
        <v>44945</v>
      </c>
      <c r="AZ26" s="99">
        <v>1</v>
      </c>
      <c r="CA26" s="90">
        <v>137</v>
      </c>
      <c r="CB26" s="90" t="s">
        <v>591</v>
      </c>
      <c r="CC26" s="90">
        <v>146458.29999999999</v>
      </c>
      <c r="CD26" s="91">
        <v>43514</v>
      </c>
      <c r="CE26" s="91" t="s">
        <v>589</v>
      </c>
      <c r="CG26" s="90">
        <v>100</v>
      </c>
      <c r="CH26" s="90" t="s">
        <v>549</v>
      </c>
      <c r="CI26" s="90">
        <v>12480</v>
      </c>
      <c r="CJ26" s="91">
        <v>44945</v>
      </c>
      <c r="CK26" s="91"/>
      <c r="CL26" s="91"/>
      <c r="CM26" s="91"/>
      <c r="CN26" s="91"/>
      <c r="CO26" s="91"/>
      <c r="CP26" s="91" t="s">
        <v>448</v>
      </c>
      <c r="CR26">
        <v>34</v>
      </c>
      <c r="CS26" t="s">
        <v>393</v>
      </c>
      <c r="CT26">
        <v>128902.095</v>
      </c>
      <c r="CU26" s="122">
        <v>45736</v>
      </c>
      <c r="CW26">
        <v>56</v>
      </c>
      <c r="CX26" t="s">
        <v>346</v>
      </c>
      <c r="CY26">
        <v>5</v>
      </c>
      <c r="CZ26">
        <v>12912</v>
      </c>
      <c r="DA26" s="12">
        <v>44715</v>
      </c>
      <c r="DL26">
        <v>25</v>
      </c>
      <c r="DM26">
        <v>84</v>
      </c>
      <c r="DN26" t="s">
        <v>116</v>
      </c>
      <c r="DO26" t="s">
        <v>120</v>
      </c>
      <c r="DP26" t="s">
        <v>257</v>
      </c>
      <c r="DQ26" t="s">
        <v>282</v>
      </c>
      <c r="DR26" t="s">
        <v>251</v>
      </c>
      <c r="DT26" t="s">
        <v>256</v>
      </c>
      <c r="DU26">
        <v>2</v>
      </c>
      <c r="DV26" t="s">
        <v>253</v>
      </c>
      <c r="DW26" t="s">
        <v>269</v>
      </c>
      <c r="DX26" t="s">
        <v>283</v>
      </c>
      <c r="DY26" t="s">
        <v>214</v>
      </c>
      <c r="EB26" t="s">
        <v>259</v>
      </c>
    </row>
    <row r="27" spans="1:134">
      <c r="A27" s="35">
        <v>105</v>
      </c>
      <c r="B27" s="5" t="s">
        <v>861</v>
      </c>
      <c r="C27" s="33">
        <v>20760</v>
      </c>
      <c r="D27" s="34">
        <v>45614</v>
      </c>
      <c r="E27" s="99"/>
      <c r="F27" s="99"/>
      <c r="G27" s="99"/>
      <c r="H27" s="99"/>
      <c r="I27" s="99"/>
      <c r="AV27" s="46">
        <v>129</v>
      </c>
      <c r="AW27" s="5" t="s">
        <v>732</v>
      </c>
      <c r="AX27" s="89">
        <v>127008</v>
      </c>
      <c r="AY27" s="45">
        <v>44945</v>
      </c>
      <c r="AZ27" s="99">
        <v>1</v>
      </c>
      <c r="CA27" s="90">
        <v>140</v>
      </c>
      <c r="CB27" s="90" t="s">
        <v>592</v>
      </c>
      <c r="CC27" s="90">
        <v>140859</v>
      </c>
      <c r="CD27" s="91">
        <v>43536</v>
      </c>
      <c r="CE27" s="91" t="s">
        <v>589</v>
      </c>
      <c r="CG27" s="90">
        <v>99</v>
      </c>
      <c r="CH27" s="90" t="s">
        <v>548</v>
      </c>
      <c r="CI27" s="90">
        <v>69120</v>
      </c>
      <c r="CJ27" s="91">
        <v>44945</v>
      </c>
      <c r="CK27" s="91"/>
      <c r="CL27" s="91"/>
      <c r="CM27" s="91"/>
      <c r="CN27" s="91"/>
      <c r="CO27" s="91"/>
      <c r="CP27" s="91" t="s">
        <v>448</v>
      </c>
      <c r="CR27">
        <v>35</v>
      </c>
      <c r="CS27" t="s">
        <v>394</v>
      </c>
      <c r="CT27">
        <v>128902.095</v>
      </c>
      <c r="CU27" s="122">
        <v>45736</v>
      </c>
      <c r="CW27">
        <v>78</v>
      </c>
      <c r="CX27" t="s">
        <v>368</v>
      </c>
      <c r="CY27">
        <v>5</v>
      </c>
      <c r="CZ27">
        <v>21580</v>
      </c>
      <c r="DA27" s="12">
        <v>45693</v>
      </c>
      <c r="DL27">
        <v>26</v>
      </c>
      <c r="DM27">
        <v>311110</v>
      </c>
      <c r="DN27" t="s">
        <v>121</v>
      </c>
      <c r="DO27" t="s">
        <v>166</v>
      </c>
      <c r="DP27" t="s">
        <v>249</v>
      </c>
      <c r="DR27" t="s">
        <v>284</v>
      </c>
      <c r="DW27" t="s">
        <v>250</v>
      </c>
      <c r="EA27" t="s">
        <v>260</v>
      </c>
      <c r="EB27" t="s">
        <v>259</v>
      </c>
    </row>
    <row r="28" spans="1:134">
      <c r="A28" s="35">
        <v>106</v>
      </c>
      <c r="B28" s="5" t="s">
        <v>862</v>
      </c>
      <c r="C28" s="33">
        <v>20760</v>
      </c>
      <c r="D28" s="34">
        <v>45614</v>
      </c>
      <c r="E28" s="99"/>
      <c r="F28" s="99"/>
      <c r="G28" s="99"/>
      <c r="H28" s="99"/>
      <c r="I28" s="99"/>
      <c r="AV28" s="46">
        <v>130</v>
      </c>
      <c r="AW28" s="45" t="s">
        <v>733</v>
      </c>
      <c r="AX28" s="43">
        <v>127008</v>
      </c>
      <c r="AY28" s="45">
        <v>44945</v>
      </c>
      <c r="AZ28" s="99">
        <v>1</v>
      </c>
      <c r="CA28" s="90">
        <v>141</v>
      </c>
      <c r="CB28" s="90" t="s">
        <v>593</v>
      </c>
      <c r="CC28" s="90">
        <v>150441</v>
      </c>
      <c r="CD28" s="91">
        <v>43536</v>
      </c>
      <c r="CE28" s="91" t="s">
        <v>589</v>
      </c>
      <c r="CG28" s="90">
        <v>98</v>
      </c>
      <c r="CH28" s="90" t="s">
        <v>547</v>
      </c>
      <c r="CI28" s="90">
        <v>57840</v>
      </c>
      <c r="CJ28" s="91">
        <v>44945</v>
      </c>
      <c r="CK28" s="91"/>
      <c r="CL28" s="91"/>
      <c r="CM28" s="91"/>
      <c r="CN28" s="91"/>
      <c r="CO28" s="91"/>
      <c r="CP28" s="91" t="s">
        <v>448</v>
      </c>
      <c r="CR28">
        <v>36</v>
      </c>
      <c r="CS28" t="s">
        <v>395</v>
      </c>
      <c r="CT28">
        <v>128902.095</v>
      </c>
      <c r="CU28" s="127">
        <v>45736</v>
      </c>
      <c r="CW28">
        <v>49</v>
      </c>
      <c r="CX28" t="s">
        <v>339</v>
      </c>
      <c r="CY28">
        <v>5</v>
      </c>
      <c r="CZ28">
        <v>17400</v>
      </c>
      <c r="DA28" s="12">
        <v>41471</v>
      </c>
      <c r="DL28">
        <v>27</v>
      </c>
      <c r="DM28">
        <v>39302</v>
      </c>
      <c r="DN28" t="s">
        <v>121</v>
      </c>
      <c r="DO28" t="s">
        <v>285</v>
      </c>
      <c r="DP28" t="s">
        <v>249</v>
      </c>
      <c r="DQ28" t="s">
        <v>250</v>
      </c>
    </row>
    <row r="29" spans="1:134">
      <c r="A29" s="35">
        <v>107</v>
      </c>
      <c r="B29" s="5" t="s">
        <v>863</v>
      </c>
      <c r="C29" s="33">
        <v>20760</v>
      </c>
      <c r="D29" s="34">
        <v>45614</v>
      </c>
      <c r="E29" s="99"/>
      <c r="F29" s="99"/>
      <c r="G29" s="99"/>
      <c r="H29" s="99"/>
      <c r="I29" s="99"/>
      <c r="AV29" s="85">
        <v>128</v>
      </c>
      <c r="AW29" s="37" t="s">
        <v>731</v>
      </c>
      <c r="AX29" s="86">
        <v>127008</v>
      </c>
      <c r="AY29" s="83">
        <v>44945</v>
      </c>
      <c r="AZ29" s="99">
        <v>1</v>
      </c>
      <c r="CA29" s="90">
        <v>142</v>
      </c>
      <c r="CB29" s="90" t="s">
        <v>594</v>
      </c>
      <c r="CC29" s="90">
        <v>152232</v>
      </c>
      <c r="CD29" s="91">
        <v>43536</v>
      </c>
      <c r="CE29" s="91" t="s">
        <v>589</v>
      </c>
      <c r="CG29" s="90">
        <v>44</v>
      </c>
      <c r="CH29" s="90" t="s">
        <v>498</v>
      </c>
      <c r="CI29" s="90">
        <v>7936</v>
      </c>
      <c r="CJ29" s="91">
        <v>41359</v>
      </c>
      <c r="CK29" s="91">
        <v>2</v>
      </c>
      <c r="CL29" s="91"/>
      <c r="CM29" s="91"/>
      <c r="CN29" s="91"/>
      <c r="CO29" s="91"/>
      <c r="CP29" s="91" t="s">
        <v>448</v>
      </c>
      <c r="CR29">
        <v>37</v>
      </c>
      <c r="CS29" t="s">
        <v>396</v>
      </c>
      <c r="CT29">
        <v>128902.095</v>
      </c>
      <c r="CU29" s="128">
        <v>45736</v>
      </c>
      <c r="CW29">
        <v>48</v>
      </c>
      <c r="CX29" t="s">
        <v>338</v>
      </c>
      <c r="CY29">
        <v>5</v>
      </c>
      <c r="CZ29">
        <v>8250</v>
      </c>
      <c r="DA29" s="12">
        <v>41471</v>
      </c>
      <c r="DL29">
        <v>28</v>
      </c>
      <c r="DM29">
        <v>39303</v>
      </c>
      <c r="DN29" t="s">
        <v>121</v>
      </c>
      <c r="DO29" t="s">
        <v>286</v>
      </c>
      <c r="DP29" t="s">
        <v>249</v>
      </c>
      <c r="DQ29" t="s">
        <v>287</v>
      </c>
    </row>
    <row r="30" spans="1:134">
      <c r="A30" s="35">
        <v>108</v>
      </c>
      <c r="B30" s="5" t="s">
        <v>864</v>
      </c>
      <c r="C30" s="33">
        <v>20760</v>
      </c>
      <c r="D30" s="34">
        <v>45614</v>
      </c>
      <c r="E30" s="99"/>
      <c r="F30" s="99"/>
      <c r="G30" s="99"/>
      <c r="H30" s="99"/>
      <c r="I30" s="99"/>
      <c r="AV30" s="46">
        <v>131</v>
      </c>
      <c r="AW30" s="5" t="s">
        <v>734</v>
      </c>
      <c r="AX30" s="89">
        <v>127008</v>
      </c>
      <c r="AY30" s="45">
        <v>44945</v>
      </c>
      <c r="AZ30" s="99">
        <v>1</v>
      </c>
      <c r="CA30" s="90">
        <v>143</v>
      </c>
      <c r="CB30" s="90" t="s">
        <v>595</v>
      </c>
      <c r="CC30" s="90">
        <v>153437</v>
      </c>
      <c r="CD30" s="91">
        <v>43536</v>
      </c>
      <c r="CE30" s="91" t="s">
        <v>589</v>
      </c>
      <c r="CG30" s="90">
        <v>74</v>
      </c>
      <c r="CH30" s="90" t="s">
        <v>524</v>
      </c>
      <c r="CI30" s="90">
        <v>40085</v>
      </c>
      <c r="CJ30" s="91">
        <v>42513</v>
      </c>
      <c r="CK30" s="91">
        <v>3</v>
      </c>
      <c r="CL30" s="91"/>
      <c r="CM30" s="91"/>
      <c r="CN30" s="91"/>
      <c r="CO30" s="91"/>
      <c r="CP30" s="91" t="s">
        <v>448</v>
      </c>
      <c r="CR30">
        <v>38</v>
      </c>
      <c r="CS30" t="s">
        <v>397</v>
      </c>
      <c r="CT30">
        <v>128902.095</v>
      </c>
      <c r="CU30" s="128">
        <v>45736</v>
      </c>
      <c r="CW30">
        <v>47</v>
      </c>
      <c r="CX30" t="s">
        <v>337</v>
      </c>
      <c r="CY30">
        <v>5</v>
      </c>
      <c r="CZ30">
        <v>9526</v>
      </c>
      <c r="DA30" s="12">
        <v>41471</v>
      </c>
      <c r="DL30">
        <v>29</v>
      </c>
      <c r="DM30">
        <v>39304</v>
      </c>
      <c r="DN30" t="s">
        <v>121</v>
      </c>
      <c r="DO30" t="s">
        <v>288</v>
      </c>
      <c r="DP30" t="s">
        <v>289</v>
      </c>
      <c r="DQ30" t="s">
        <v>262</v>
      </c>
      <c r="EA30" t="s">
        <v>260</v>
      </c>
    </row>
    <row r="31" spans="1:134">
      <c r="A31" s="35">
        <v>109</v>
      </c>
      <c r="B31" s="5" t="s">
        <v>865</v>
      </c>
      <c r="C31" s="33">
        <v>20760</v>
      </c>
      <c r="D31" s="34">
        <v>45614</v>
      </c>
      <c r="E31" s="99"/>
      <c r="F31" s="99"/>
      <c r="G31" s="99"/>
      <c r="H31" s="99"/>
      <c r="I31" s="99"/>
      <c r="AV31" s="85">
        <v>132</v>
      </c>
      <c r="AW31" s="37" t="s">
        <v>735</v>
      </c>
      <c r="AX31" s="86">
        <v>127008</v>
      </c>
      <c r="AY31" s="83">
        <v>44945</v>
      </c>
      <c r="AZ31" s="99">
        <v>1</v>
      </c>
      <c r="CA31" s="90">
        <v>144</v>
      </c>
      <c r="CB31" s="90" t="s">
        <v>596</v>
      </c>
      <c r="CC31" s="90">
        <v>155000</v>
      </c>
      <c r="CD31" s="91">
        <v>43536</v>
      </c>
      <c r="CE31" s="91" t="s">
        <v>589</v>
      </c>
      <c r="CG31" s="90">
        <v>8</v>
      </c>
      <c r="CH31" s="90" t="s">
        <v>458</v>
      </c>
      <c r="CI31" s="90">
        <v>1439</v>
      </c>
      <c r="CJ31" s="91">
        <v>44354</v>
      </c>
      <c r="CK31" s="91"/>
      <c r="CL31" s="91" t="s">
        <v>459</v>
      </c>
      <c r="CM31" s="91"/>
      <c r="CN31" s="91"/>
      <c r="CO31" s="91"/>
      <c r="CP31" s="91" t="s">
        <v>448</v>
      </c>
      <c r="CR31">
        <v>39</v>
      </c>
      <c r="CS31" t="s">
        <v>398</v>
      </c>
      <c r="CT31">
        <v>121319.1</v>
      </c>
      <c r="CU31" s="128">
        <v>45736</v>
      </c>
      <c r="CW31">
        <v>76</v>
      </c>
      <c r="CX31" t="s">
        <v>366</v>
      </c>
      <c r="CY31">
        <v>5</v>
      </c>
      <c r="CZ31">
        <v>18720</v>
      </c>
      <c r="DA31" s="12">
        <v>45278</v>
      </c>
      <c r="DL31">
        <v>30</v>
      </c>
      <c r="DM31">
        <v>393041</v>
      </c>
      <c r="DN31" t="s">
        <v>121</v>
      </c>
      <c r="DO31" t="s">
        <v>290</v>
      </c>
      <c r="DP31" t="s">
        <v>249</v>
      </c>
      <c r="DQ31" t="s">
        <v>262</v>
      </c>
      <c r="DU31">
        <v>2</v>
      </c>
      <c r="DV31" t="s">
        <v>291</v>
      </c>
      <c r="EA31" t="s">
        <v>260</v>
      </c>
    </row>
    <row r="32" spans="1:134">
      <c r="A32" s="35">
        <v>110</v>
      </c>
      <c r="B32" s="5" t="s">
        <v>866</v>
      </c>
      <c r="C32" s="33">
        <v>19800</v>
      </c>
      <c r="D32" s="34">
        <v>45614</v>
      </c>
      <c r="E32" s="99"/>
      <c r="F32" s="99"/>
      <c r="G32" s="99"/>
      <c r="H32" s="99"/>
      <c r="I32" s="99"/>
      <c r="AV32" s="46">
        <v>116</v>
      </c>
      <c r="AW32" s="5" t="s">
        <v>724</v>
      </c>
      <c r="AX32" s="89">
        <v>164200</v>
      </c>
      <c r="AY32" s="45">
        <v>45331</v>
      </c>
      <c r="AZ32" s="99">
        <v>1</v>
      </c>
      <c r="CA32" s="90">
        <v>145</v>
      </c>
      <c r="CB32" s="90" t="s">
        <v>597</v>
      </c>
      <c r="CC32" s="90">
        <v>157443</v>
      </c>
      <c r="CD32" s="91">
        <v>43536</v>
      </c>
      <c r="CE32" s="91" t="s">
        <v>589</v>
      </c>
      <c r="CG32" s="90">
        <v>31</v>
      </c>
      <c r="CH32" s="90" t="s">
        <v>484</v>
      </c>
      <c r="CI32" s="90">
        <v>7680</v>
      </c>
      <c r="CJ32" s="91">
        <v>41164</v>
      </c>
      <c r="CK32" s="91"/>
      <c r="CL32" s="91"/>
      <c r="CM32" s="91"/>
      <c r="CN32" s="91"/>
      <c r="CO32" s="91"/>
      <c r="CP32" s="91" t="s">
        <v>448</v>
      </c>
      <c r="CR32">
        <v>40</v>
      </c>
      <c r="CS32" t="s">
        <v>399</v>
      </c>
      <c r="CT32">
        <v>121319.1</v>
      </c>
      <c r="CU32" s="128">
        <v>45736</v>
      </c>
      <c r="CW32">
        <v>15</v>
      </c>
      <c r="CX32" t="s">
        <v>307</v>
      </c>
      <c r="CY32">
        <v>5</v>
      </c>
      <c r="CZ32">
        <v>12250</v>
      </c>
      <c r="DA32" s="12">
        <v>45449</v>
      </c>
      <c r="DL32">
        <v>31</v>
      </c>
      <c r="DM32">
        <v>39311</v>
      </c>
      <c r="DN32" t="s">
        <v>121</v>
      </c>
      <c r="DO32" t="s">
        <v>96</v>
      </c>
      <c r="DP32" t="s">
        <v>0</v>
      </c>
      <c r="DQ32" t="s">
        <v>250</v>
      </c>
      <c r="DY32" t="s">
        <v>266</v>
      </c>
    </row>
    <row r="33" spans="1:121">
      <c r="A33" s="35">
        <v>111</v>
      </c>
      <c r="B33" s="5" t="s">
        <v>867</v>
      </c>
      <c r="C33" s="33">
        <v>19800</v>
      </c>
      <c r="D33" s="34">
        <v>45614</v>
      </c>
      <c r="E33" s="99"/>
      <c r="F33" s="99"/>
      <c r="G33" s="99"/>
      <c r="H33" s="99"/>
      <c r="I33" s="99"/>
      <c r="AV33" s="85">
        <v>112</v>
      </c>
      <c r="AW33" s="37" t="s">
        <v>720</v>
      </c>
      <c r="AX33" s="44">
        <v>224200</v>
      </c>
      <c r="AY33" s="83">
        <v>45831</v>
      </c>
      <c r="AZ33" s="99">
        <v>1</v>
      </c>
      <c r="CA33" s="90">
        <v>146</v>
      </c>
      <c r="CB33" s="90" t="s">
        <v>598</v>
      </c>
      <c r="CC33" s="90">
        <v>214830</v>
      </c>
      <c r="CD33" s="108">
        <v>43605</v>
      </c>
      <c r="CE33" s="108" t="s">
        <v>577</v>
      </c>
      <c r="CG33" s="90">
        <v>20</v>
      </c>
      <c r="CH33" s="90" t="s">
        <v>472</v>
      </c>
      <c r="CI33" s="90">
        <v>8112.5</v>
      </c>
      <c r="CJ33" s="91">
        <v>41109</v>
      </c>
      <c r="CK33" s="91"/>
      <c r="CL33" s="91"/>
      <c r="CM33" s="91"/>
      <c r="CN33" s="91"/>
      <c r="CO33" s="91"/>
      <c r="CP33" s="91" t="s">
        <v>448</v>
      </c>
      <c r="CR33">
        <v>41</v>
      </c>
      <c r="CS33" t="s">
        <v>400</v>
      </c>
      <c r="CT33">
        <v>121319.1</v>
      </c>
      <c r="CU33" s="128">
        <v>45736</v>
      </c>
      <c r="CW33">
        <v>14</v>
      </c>
      <c r="CX33" t="s">
        <v>306</v>
      </c>
      <c r="CY33">
        <v>5</v>
      </c>
      <c r="CZ33">
        <v>15000</v>
      </c>
      <c r="DA33" s="12">
        <v>41039</v>
      </c>
      <c r="DL33">
        <v>32</v>
      </c>
      <c r="DM33">
        <v>39314</v>
      </c>
      <c r="DN33" t="s">
        <v>121</v>
      </c>
      <c r="DO33" t="s">
        <v>97</v>
      </c>
      <c r="DP33" t="s">
        <v>279</v>
      </c>
      <c r="DQ33" t="s">
        <v>250</v>
      </c>
    </row>
    <row r="34" spans="1:121">
      <c r="A34" s="35">
        <v>112</v>
      </c>
      <c r="B34" s="5" t="s">
        <v>868</v>
      </c>
      <c r="C34" s="33">
        <v>19800</v>
      </c>
      <c r="D34" s="34">
        <v>45614</v>
      </c>
      <c r="E34" s="99"/>
      <c r="F34" s="99"/>
      <c r="G34" s="99"/>
      <c r="H34" s="99"/>
      <c r="I34" s="99"/>
      <c r="AV34" s="85">
        <v>115</v>
      </c>
      <c r="AW34" s="37" t="s">
        <v>723</v>
      </c>
      <c r="AX34" s="86">
        <v>224200</v>
      </c>
      <c r="AY34" s="83">
        <v>45831</v>
      </c>
      <c r="AZ34" s="99">
        <v>1</v>
      </c>
      <c r="CA34" s="90">
        <v>147</v>
      </c>
      <c r="CB34" s="90" t="s">
        <v>599</v>
      </c>
      <c r="CC34" s="90">
        <v>117020</v>
      </c>
      <c r="CD34" s="108">
        <v>45300</v>
      </c>
      <c r="CE34" s="108" t="s">
        <v>566</v>
      </c>
      <c r="CG34" s="90">
        <v>95</v>
      </c>
      <c r="CH34" s="90" t="s">
        <v>544</v>
      </c>
      <c r="CI34" s="90">
        <v>49080</v>
      </c>
      <c r="CJ34" s="91">
        <v>45616</v>
      </c>
      <c r="CK34" s="91">
        <v>1</v>
      </c>
      <c r="CL34" s="91"/>
      <c r="CM34" s="91"/>
      <c r="CN34" s="91"/>
      <c r="CO34" s="91"/>
      <c r="CP34" s="91" t="s">
        <v>448</v>
      </c>
      <c r="CR34">
        <v>42</v>
      </c>
      <c r="CS34" t="s">
        <v>401</v>
      </c>
      <c r="CT34">
        <v>121319.1</v>
      </c>
      <c r="CU34" s="128">
        <v>45736</v>
      </c>
      <c r="CW34">
        <v>16</v>
      </c>
      <c r="CX34" t="s">
        <v>308</v>
      </c>
      <c r="CY34">
        <v>5</v>
      </c>
      <c r="CZ34">
        <v>15000</v>
      </c>
      <c r="DA34" s="12">
        <v>41057</v>
      </c>
    </row>
    <row r="35" spans="1:121">
      <c r="A35" s="35">
        <v>113</v>
      </c>
      <c r="B35" s="5" t="s">
        <v>869</v>
      </c>
      <c r="C35" s="33">
        <v>19800</v>
      </c>
      <c r="D35" s="34">
        <v>45614</v>
      </c>
      <c r="E35" s="99"/>
      <c r="F35" s="99"/>
      <c r="G35" s="99"/>
      <c r="H35" s="99"/>
      <c r="I35" s="99"/>
      <c r="AV35" s="85">
        <v>142</v>
      </c>
      <c r="AW35" s="37" t="s">
        <v>740</v>
      </c>
      <c r="AX35" s="89">
        <v>182112</v>
      </c>
      <c r="AY35" s="83">
        <v>45197</v>
      </c>
      <c r="AZ35" s="99">
        <v>1</v>
      </c>
      <c r="CA35" s="90">
        <v>148</v>
      </c>
      <c r="CB35" s="90" t="s">
        <v>600</v>
      </c>
      <c r="CC35" s="90">
        <v>154312</v>
      </c>
      <c r="CD35" s="108">
        <v>43929</v>
      </c>
      <c r="CE35" s="108" t="s">
        <v>566</v>
      </c>
      <c r="CG35" s="90">
        <v>105</v>
      </c>
      <c r="CH35" s="90" t="s">
        <v>552</v>
      </c>
      <c r="CI35" s="90">
        <v>35833</v>
      </c>
      <c r="CJ35" s="91">
        <v>45677</v>
      </c>
      <c r="CK35" s="91"/>
      <c r="CL35" s="91"/>
      <c r="CM35" s="91"/>
      <c r="CN35" s="91"/>
      <c r="CO35" s="91"/>
      <c r="CP35" s="91" t="s">
        <v>448</v>
      </c>
      <c r="CR35">
        <v>43</v>
      </c>
      <c r="CS35" t="s">
        <v>402</v>
      </c>
      <c r="CT35">
        <v>121319.1</v>
      </c>
      <c r="CU35" s="128">
        <v>45736</v>
      </c>
      <c r="CW35">
        <v>19</v>
      </c>
      <c r="CX35" t="s">
        <v>311</v>
      </c>
      <c r="CY35">
        <v>5</v>
      </c>
      <c r="CZ35">
        <v>30255</v>
      </c>
      <c r="DA35" s="12">
        <v>41057</v>
      </c>
    </row>
    <row r="36" spans="1:121">
      <c r="A36" s="36">
        <v>114</v>
      </c>
      <c r="B36" s="37" t="s">
        <v>870</v>
      </c>
      <c r="C36" s="38">
        <v>19800</v>
      </c>
      <c r="D36" s="39">
        <v>45614</v>
      </c>
      <c r="E36" s="99"/>
      <c r="F36" s="99"/>
      <c r="G36" s="99"/>
      <c r="H36" s="99"/>
      <c r="I36" s="99"/>
      <c r="AV36" s="97">
        <v>113</v>
      </c>
      <c r="AW36" s="90" t="s">
        <v>721</v>
      </c>
      <c r="AX36" s="89">
        <v>164200</v>
      </c>
      <c r="AY36" s="91">
        <v>45331</v>
      </c>
      <c r="AZ36" s="99">
        <v>1</v>
      </c>
      <c r="CA36" s="90">
        <v>149</v>
      </c>
      <c r="CB36" s="90" t="s">
        <v>601</v>
      </c>
      <c r="CC36" s="90">
        <v>156496</v>
      </c>
      <c r="CD36" s="108">
        <v>45357</v>
      </c>
      <c r="CE36" s="108" t="s">
        <v>566</v>
      </c>
      <c r="CG36" s="90">
        <v>107</v>
      </c>
      <c r="CH36" s="90" t="s">
        <v>554</v>
      </c>
      <c r="CI36" s="90">
        <v>14500</v>
      </c>
      <c r="CJ36" s="91">
        <v>45519</v>
      </c>
      <c r="CK36" s="91">
        <v>1</v>
      </c>
      <c r="CL36" s="91"/>
      <c r="CM36" s="91"/>
      <c r="CN36" s="91"/>
      <c r="CO36" s="91"/>
      <c r="CP36" s="91" t="s">
        <v>448</v>
      </c>
      <c r="CR36">
        <v>44</v>
      </c>
      <c r="CS36" t="s">
        <v>403</v>
      </c>
      <c r="CT36">
        <v>121319.1</v>
      </c>
      <c r="CU36" s="128">
        <v>45736</v>
      </c>
      <c r="CW36">
        <v>18</v>
      </c>
      <c r="CX36" t="s">
        <v>310</v>
      </c>
      <c r="CY36">
        <v>5</v>
      </c>
      <c r="CZ36">
        <v>30255</v>
      </c>
      <c r="DA36" s="12">
        <v>41057</v>
      </c>
    </row>
    <row r="37" spans="1:121">
      <c r="A37" s="35">
        <v>115</v>
      </c>
      <c r="B37" s="5" t="s">
        <v>871</v>
      </c>
      <c r="C37" s="33">
        <v>19800</v>
      </c>
      <c r="D37" s="34">
        <v>45614</v>
      </c>
      <c r="E37" s="99"/>
      <c r="F37" s="99"/>
      <c r="G37" s="99"/>
      <c r="H37" s="99"/>
      <c r="I37" s="99"/>
      <c r="AV37" s="97">
        <v>114</v>
      </c>
      <c r="AW37" s="90" t="s">
        <v>722</v>
      </c>
      <c r="AX37" s="89">
        <v>164200</v>
      </c>
      <c r="AY37" s="91">
        <v>45331</v>
      </c>
      <c r="AZ37" s="99">
        <v>1</v>
      </c>
      <c r="CA37" s="90">
        <v>150</v>
      </c>
      <c r="CB37" s="90" t="s">
        <v>602</v>
      </c>
      <c r="CC37" s="90">
        <v>194406</v>
      </c>
      <c r="CD37" s="108">
        <v>44705</v>
      </c>
      <c r="CE37" s="108" t="s">
        <v>589</v>
      </c>
      <c r="CG37" s="90">
        <v>115</v>
      </c>
      <c r="CH37" s="90" t="s">
        <v>560</v>
      </c>
      <c r="CI37" s="90">
        <v>27750</v>
      </c>
      <c r="CJ37" s="91">
        <v>45742</v>
      </c>
      <c r="CK37" s="91"/>
      <c r="CL37" s="91"/>
      <c r="CM37" s="91"/>
      <c r="CN37" s="91"/>
      <c r="CO37" s="91"/>
      <c r="CP37" s="91" t="s">
        <v>448</v>
      </c>
      <c r="CR37">
        <v>45</v>
      </c>
      <c r="CS37" t="s">
        <v>404</v>
      </c>
      <c r="CT37">
        <v>121319.1</v>
      </c>
      <c r="CU37" s="128">
        <v>45736</v>
      </c>
      <c r="CW37">
        <v>17</v>
      </c>
      <c r="CX37" t="s">
        <v>309</v>
      </c>
      <c r="CY37">
        <v>5</v>
      </c>
      <c r="CZ37">
        <v>24921</v>
      </c>
      <c r="DA37" s="12">
        <v>41057</v>
      </c>
    </row>
    <row r="38" spans="1:121">
      <c r="A38" s="35">
        <v>116</v>
      </c>
      <c r="B38" s="5" t="s">
        <v>872</v>
      </c>
      <c r="C38" s="33">
        <v>19800</v>
      </c>
      <c r="D38" s="34">
        <v>45614</v>
      </c>
      <c r="E38" s="99"/>
      <c r="F38" s="99"/>
      <c r="G38" s="99"/>
      <c r="H38" s="99"/>
      <c r="I38" s="99"/>
      <c r="AV38" s="97">
        <v>144</v>
      </c>
      <c r="AW38" s="90" t="s">
        <v>742</v>
      </c>
      <c r="AX38" s="89">
        <v>225800</v>
      </c>
      <c r="AY38" s="91">
        <v>45831</v>
      </c>
      <c r="AZ38" s="99">
        <v>2</v>
      </c>
      <c r="CA38" s="90">
        <v>151</v>
      </c>
      <c r="CB38" s="90" t="s">
        <v>603</v>
      </c>
      <c r="CC38" s="90">
        <v>166666</v>
      </c>
      <c r="CD38" s="108">
        <v>44748</v>
      </c>
      <c r="CE38" s="108" t="s">
        <v>577</v>
      </c>
      <c r="CG38" s="90">
        <v>106</v>
      </c>
      <c r="CH38" s="90" t="s">
        <v>553</v>
      </c>
      <c r="CI38" s="90">
        <v>35083</v>
      </c>
      <c r="CJ38" s="91">
        <v>45447</v>
      </c>
      <c r="CK38" s="91">
        <v>1</v>
      </c>
      <c r="CL38" s="91"/>
      <c r="CM38" s="91"/>
      <c r="CN38" s="91"/>
      <c r="CO38" s="91"/>
      <c r="CP38" s="91" t="s">
        <v>448</v>
      </c>
      <c r="CR38">
        <v>46</v>
      </c>
      <c r="CS38" t="s">
        <v>405</v>
      </c>
      <c r="CT38">
        <v>121319.1</v>
      </c>
      <c r="CU38" s="128">
        <v>45736</v>
      </c>
      <c r="CW38">
        <v>25</v>
      </c>
      <c r="CX38" t="s">
        <v>317</v>
      </c>
      <c r="CY38">
        <v>5</v>
      </c>
      <c r="CZ38">
        <v>3189</v>
      </c>
      <c r="DA38" s="12">
        <v>40909</v>
      </c>
    </row>
    <row r="39" spans="1:121">
      <c r="A39" s="35">
        <v>117</v>
      </c>
      <c r="B39" s="5" t="s">
        <v>873</v>
      </c>
      <c r="C39" s="33">
        <v>23040</v>
      </c>
      <c r="D39" s="34">
        <v>45614</v>
      </c>
      <c r="E39" s="99"/>
      <c r="F39" s="99"/>
      <c r="G39" s="99"/>
      <c r="H39" s="99"/>
      <c r="I39" s="99"/>
      <c r="AV39" s="97">
        <v>140</v>
      </c>
      <c r="AW39" s="90" t="s">
        <v>738</v>
      </c>
      <c r="AX39" s="89">
        <v>129600</v>
      </c>
      <c r="AY39" s="91">
        <v>44945</v>
      </c>
      <c r="AZ39" s="99">
        <v>1</v>
      </c>
      <c r="CA39" s="90">
        <v>152</v>
      </c>
      <c r="CB39" s="90" t="s">
        <v>604</v>
      </c>
      <c r="CC39" s="90">
        <v>125000</v>
      </c>
      <c r="CD39" s="108">
        <v>44748</v>
      </c>
      <c r="CE39" s="108" t="s">
        <v>575</v>
      </c>
      <c r="CG39" s="90">
        <v>26</v>
      </c>
      <c r="CH39" s="90" t="s">
        <v>479</v>
      </c>
      <c r="CI39" s="90">
        <v>5518</v>
      </c>
      <c r="CJ39" s="91">
        <v>41151</v>
      </c>
      <c r="CK39" s="91"/>
      <c r="CL39" s="91"/>
      <c r="CM39" s="91"/>
      <c r="CN39" s="91"/>
      <c r="CO39" s="91"/>
      <c r="CP39" s="91" t="s">
        <v>448</v>
      </c>
      <c r="CR39">
        <v>47</v>
      </c>
      <c r="CS39" t="s">
        <v>406</v>
      </c>
      <c r="CT39">
        <v>121319.1</v>
      </c>
      <c r="CU39" s="128">
        <v>45736</v>
      </c>
      <c r="CW39">
        <v>55</v>
      </c>
      <c r="CX39" t="s">
        <v>345</v>
      </c>
      <c r="CY39">
        <v>5</v>
      </c>
      <c r="CZ39">
        <v>2668</v>
      </c>
      <c r="DA39" s="12">
        <v>42209</v>
      </c>
    </row>
    <row r="40" spans="1:121">
      <c r="A40" s="35">
        <v>118</v>
      </c>
      <c r="B40" s="5" t="s">
        <v>874</v>
      </c>
      <c r="C40" s="33">
        <v>23040</v>
      </c>
      <c r="D40" s="34">
        <v>45614</v>
      </c>
      <c r="E40" s="99"/>
      <c r="F40" s="99"/>
      <c r="G40" s="99"/>
      <c r="H40" s="99"/>
      <c r="I40" s="99"/>
      <c r="AV40" s="97">
        <v>28</v>
      </c>
      <c r="AW40" s="90" t="s">
        <v>686</v>
      </c>
      <c r="AX40" s="89">
        <v>71400</v>
      </c>
      <c r="AY40" s="91">
        <v>43242</v>
      </c>
      <c r="AZ40" s="99">
        <v>2</v>
      </c>
      <c r="CA40" s="90">
        <v>153</v>
      </c>
      <c r="CB40" s="90" t="s">
        <v>605</v>
      </c>
      <c r="CC40" s="90">
        <v>194920</v>
      </c>
      <c r="CD40" s="123">
        <v>44946</v>
      </c>
      <c r="CE40" s="123" t="s">
        <v>566</v>
      </c>
      <c r="CG40" s="90">
        <v>13</v>
      </c>
      <c r="CH40" s="90" t="s">
        <v>466</v>
      </c>
      <c r="CI40" s="90">
        <v>1700</v>
      </c>
      <c r="CJ40" s="91">
        <v>41080</v>
      </c>
      <c r="CK40" s="91"/>
      <c r="CL40" s="91"/>
      <c r="CM40" s="91"/>
      <c r="CN40" s="91"/>
      <c r="CO40" s="91"/>
      <c r="CP40" s="91" t="s">
        <v>448</v>
      </c>
      <c r="CR40">
        <v>48</v>
      </c>
      <c r="CS40" t="s">
        <v>407</v>
      </c>
      <c r="CT40">
        <v>121319.1</v>
      </c>
      <c r="CU40" s="128">
        <v>45736</v>
      </c>
      <c r="CW40">
        <v>42</v>
      </c>
      <c r="CX40" t="s">
        <v>333</v>
      </c>
      <c r="CY40">
        <v>5</v>
      </c>
      <c r="CZ40">
        <v>3189</v>
      </c>
      <c r="DA40" s="12">
        <v>40909</v>
      </c>
    </row>
    <row r="41" spans="1:121">
      <c r="A41" s="35">
        <v>119</v>
      </c>
      <c r="B41" s="5" t="s">
        <v>875</v>
      </c>
      <c r="C41" s="33">
        <v>23040</v>
      </c>
      <c r="D41" s="34">
        <v>45614</v>
      </c>
      <c r="E41" s="99"/>
      <c r="F41" s="99"/>
      <c r="G41" s="99"/>
      <c r="H41" s="99"/>
      <c r="I41" s="99"/>
      <c r="AV41" s="97">
        <v>145</v>
      </c>
      <c r="AW41" s="90" t="s">
        <v>743</v>
      </c>
      <c r="AX41" s="89">
        <v>70200</v>
      </c>
      <c r="AY41" s="91">
        <v>43242</v>
      </c>
      <c r="AZ41" s="99">
        <v>2</v>
      </c>
      <c r="CA41" s="90">
        <v>154</v>
      </c>
      <c r="CB41" s="90" t="s">
        <v>606</v>
      </c>
      <c r="CC41" s="90">
        <v>157530</v>
      </c>
      <c r="CD41" s="123">
        <v>45698</v>
      </c>
      <c r="CE41" s="123" t="s">
        <v>566</v>
      </c>
      <c r="CG41" s="90">
        <v>25</v>
      </c>
      <c r="CH41" s="90" t="s">
        <v>478</v>
      </c>
      <c r="CI41" s="90">
        <v>1600</v>
      </c>
      <c r="CJ41" s="91">
        <v>41151</v>
      </c>
      <c r="CK41" s="91"/>
      <c r="CL41" s="91"/>
      <c r="CM41" s="91"/>
      <c r="CN41" s="91"/>
      <c r="CO41" s="91"/>
      <c r="CP41" s="91" t="s">
        <v>448</v>
      </c>
      <c r="CR41">
        <v>49</v>
      </c>
      <c r="CS41" t="s">
        <v>408</v>
      </c>
      <c r="CT41">
        <v>121319.1</v>
      </c>
      <c r="CU41" s="128">
        <v>45736</v>
      </c>
      <c r="CW41">
        <v>24</v>
      </c>
      <c r="CX41" t="s">
        <v>316</v>
      </c>
      <c r="CY41">
        <v>5</v>
      </c>
      <c r="CZ41">
        <v>1897</v>
      </c>
      <c r="DA41" s="12">
        <v>40543</v>
      </c>
    </row>
    <row r="42" spans="1:121">
      <c r="A42" s="35">
        <v>120</v>
      </c>
      <c r="B42" s="5" t="s">
        <v>876</v>
      </c>
      <c r="C42" s="33">
        <v>23040</v>
      </c>
      <c r="D42" s="34">
        <v>45614</v>
      </c>
      <c r="E42" s="99"/>
      <c r="F42" s="99"/>
      <c r="G42" s="99"/>
      <c r="H42" s="99"/>
      <c r="I42" s="99"/>
      <c r="AV42" s="97">
        <v>26</v>
      </c>
      <c r="AW42" s="90" t="s">
        <v>684</v>
      </c>
      <c r="AX42" s="86">
        <v>71400</v>
      </c>
      <c r="AY42" s="91">
        <v>43242</v>
      </c>
      <c r="AZ42" s="99">
        <v>2</v>
      </c>
      <c r="CA42" s="90">
        <v>155</v>
      </c>
      <c r="CB42" s="90" t="s">
        <v>607</v>
      </c>
      <c r="CC42" s="90">
        <v>126270</v>
      </c>
      <c r="CD42" s="123">
        <v>45329</v>
      </c>
      <c r="CE42" s="123" t="s">
        <v>566</v>
      </c>
      <c r="CG42" s="90">
        <v>75</v>
      </c>
      <c r="CH42" s="90" t="s">
        <v>525</v>
      </c>
      <c r="CI42" s="90">
        <v>12500</v>
      </c>
      <c r="CJ42" s="91">
        <v>42520</v>
      </c>
      <c r="CK42" s="91">
        <v>1</v>
      </c>
      <c r="CL42" s="91"/>
      <c r="CM42" s="91"/>
      <c r="CN42" s="91"/>
      <c r="CO42" s="91"/>
      <c r="CP42" s="91" t="s">
        <v>448</v>
      </c>
      <c r="CR42">
        <v>50</v>
      </c>
      <c r="CS42" t="s">
        <v>409</v>
      </c>
      <c r="CT42">
        <v>121319.1</v>
      </c>
      <c r="CU42" s="128">
        <v>45736</v>
      </c>
      <c r="CW42">
        <v>29</v>
      </c>
      <c r="CX42" t="s">
        <v>321</v>
      </c>
      <c r="CY42">
        <v>5</v>
      </c>
      <c r="CZ42">
        <v>4989</v>
      </c>
      <c r="DA42" s="12">
        <v>41102</v>
      </c>
    </row>
    <row r="43" spans="1:121">
      <c r="A43" s="35">
        <v>121</v>
      </c>
      <c r="B43" s="5" t="s">
        <v>877</v>
      </c>
      <c r="C43" s="33">
        <v>23040</v>
      </c>
      <c r="D43" s="34">
        <v>45614</v>
      </c>
      <c r="E43" s="99"/>
      <c r="F43" s="99"/>
      <c r="G43" s="99"/>
      <c r="H43" s="99"/>
      <c r="I43" s="99"/>
      <c r="AV43" s="97">
        <v>146</v>
      </c>
      <c r="AW43" s="90" t="s">
        <v>744</v>
      </c>
      <c r="AX43" s="86">
        <v>69500</v>
      </c>
      <c r="AY43" s="91">
        <v>43242</v>
      </c>
      <c r="AZ43" s="99">
        <v>2</v>
      </c>
      <c r="CA43" s="90">
        <v>156</v>
      </c>
      <c r="CB43" s="90" t="s">
        <v>251</v>
      </c>
      <c r="CC43" s="90">
        <v>122905</v>
      </c>
      <c r="CD43" s="129">
        <v>45677</v>
      </c>
      <c r="CE43" s="129" t="s">
        <v>566</v>
      </c>
      <c r="CG43" s="90">
        <v>66</v>
      </c>
      <c r="CH43" s="90" t="s">
        <v>516</v>
      </c>
      <c r="CI43" s="90">
        <v>4050</v>
      </c>
      <c r="CJ43" s="91">
        <v>42209</v>
      </c>
      <c r="CK43" s="91"/>
      <c r="CL43" s="91"/>
      <c r="CM43" s="91"/>
      <c r="CN43" s="91"/>
      <c r="CO43" s="91"/>
      <c r="CP43" s="91" t="s">
        <v>448</v>
      </c>
      <c r="CR43">
        <v>51</v>
      </c>
      <c r="CS43" t="s">
        <v>410</v>
      </c>
      <c r="CT43">
        <v>121319.1</v>
      </c>
      <c r="CU43" s="128">
        <v>45736</v>
      </c>
      <c r="CW43">
        <v>30</v>
      </c>
      <c r="CX43" t="s">
        <v>322</v>
      </c>
      <c r="CY43">
        <v>5</v>
      </c>
      <c r="CZ43">
        <v>6498</v>
      </c>
      <c r="DA43" s="12">
        <v>41115</v>
      </c>
    </row>
    <row r="44" spans="1:121">
      <c r="A44" s="35">
        <v>122</v>
      </c>
      <c r="B44" s="5" t="s">
        <v>878</v>
      </c>
      <c r="C44" s="33">
        <v>23040</v>
      </c>
      <c r="D44" s="34">
        <v>45614</v>
      </c>
      <c r="E44" s="99"/>
      <c r="F44" s="99"/>
      <c r="G44" s="99"/>
      <c r="H44" s="99"/>
      <c r="I44" s="99"/>
      <c r="AV44" s="97">
        <v>27</v>
      </c>
      <c r="AW44" s="90" t="s">
        <v>685</v>
      </c>
      <c r="AX44" s="86">
        <v>72000</v>
      </c>
      <c r="AY44" s="91">
        <v>41092</v>
      </c>
      <c r="AZ44" s="99"/>
      <c r="CA44" s="90">
        <v>157</v>
      </c>
      <c r="CB44" s="90" t="s">
        <v>608</v>
      </c>
      <c r="CC44" s="90">
        <v>270762</v>
      </c>
      <c r="CD44" s="129">
        <v>45699</v>
      </c>
      <c r="CE44" s="129" t="s">
        <v>566</v>
      </c>
      <c r="CG44" s="90">
        <v>77</v>
      </c>
      <c r="CH44" s="90" t="s">
        <v>527</v>
      </c>
      <c r="CI44" s="90">
        <v>5890</v>
      </c>
      <c r="CJ44" s="91">
        <v>42615</v>
      </c>
      <c r="CK44" s="91"/>
      <c r="CL44" s="91"/>
      <c r="CM44" s="91"/>
      <c r="CN44" s="91"/>
      <c r="CO44" s="91"/>
      <c r="CP44" s="91" t="s">
        <v>448</v>
      </c>
      <c r="CR44">
        <v>52</v>
      </c>
      <c r="CS44" t="s">
        <v>411</v>
      </c>
      <c r="CT44">
        <v>121319.1</v>
      </c>
      <c r="CU44" s="128">
        <v>45736</v>
      </c>
      <c r="CW44">
        <v>31</v>
      </c>
      <c r="CX44" t="s">
        <v>323</v>
      </c>
      <c r="CY44">
        <v>5</v>
      </c>
      <c r="CZ44">
        <v>6498</v>
      </c>
      <c r="DA44" s="12">
        <v>41115</v>
      </c>
    </row>
    <row r="45" spans="1:121">
      <c r="A45" s="35">
        <v>123</v>
      </c>
      <c r="B45" s="5" t="s">
        <v>879</v>
      </c>
      <c r="C45" s="33">
        <v>23040</v>
      </c>
      <c r="D45" s="34">
        <v>45614</v>
      </c>
      <c r="E45" s="99"/>
      <c r="F45" s="99"/>
      <c r="G45" s="99"/>
      <c r="H45" s="99"/>
      <c r="I45" s="99"/>
      <c r="AV45" s="97">
        <v>157</v>
      </c>
      <c r="AW45" s="90" t="s">
        <v>748</v>
      </c>
      <c r="AX45" s="98">
        <v>105000</v>
      </c>
      <c r="AY45" s="91">
        <v>43518</v>
      </c>
      <c r="AZ45" s="99">
        <v>2</v>
      </c>
      <c r="CA45" s="90">
        <v>158</v>
      </c>
      <c r="CB45" s="90" t="s">
        <v>609</v>
      </c>
      <c r="CC45" s="90">
        <v>378427.5</v>
      </c>
      <c r="CD45" s="129">
        <v>45370</v>
      </c>
      <c r="CE45" s="129" t="s">
        <v>577</v>
      </c>
      <c r="CG45" s="90">
        <v>70</v>
      </c>
      <c r="CH45" s="90" t="s">
        <v>520</v>
      </c>
      <c r="CI45" s="90">
        <v>3990</v>
      </c>
      <c r="CJ45" s="91">
        <v>42447</v>
      </c>
      <c r="CK45" s="91">
        <v>3</v>
      </c>
      <c r="CL45" s="91"/>
      <c r="CM45" s="91"/>
      <c r="CN45" s="91"/>
      <c r="CO45" s="91"/>
      <c r="CP45" s="91" t="s">
        <v>448</v>
      </c>
      <c r="CR45">
        <v>53</v>
      </c>
      <c r="CS45" t="s">
        <v>412</v>
      </c>
      <c r="CT45">
        <v>42986.474999999999</v>
      </c>
      <c r="CU45" s="128">
        <v>45736</v>
      </c>
      <c r="CW45">
        <v>32</v>
      </c>
      <c r="CX45" t="s">
        <v>324</v>
      </c>
      <c r="CY45">
        <v>5</v>
      </c>
      <c r="CZ45">
        <v>6387</v>
      </c>
      <c r="DA45" s="12">
        <v>41115</v>
      </c>
    </row>
    <row r="46" spans="1:121">
      <c r="A46" s="35">
        <v>124</v>
      </c>
      <c r="B46" s="5" t="s">
        <v>880</v>
      </c>
      <c r="C46" s="33">
        <v>23040</v>
      </c>
      <c r="D46" s="34">
        <v>45614</v>
      </c>
      <c r="E46" s="99"/>
      <c r="F46" s="99"/>
      <c r="G46" s="99"/>
      <c r="H46" s="99"/>
      <c r="I46" s="99"/>
      <c r="AV46" s="97">
        <v>35</v>
      </c>
      <c r="AW46" s="90" t="s">
        <v>692</v>
      </c>
      <c r="AX46" s="98">
        <v>80000</v>
      </c>
      <c r="AY46" s="91">
        <v>43518</v>
      </c>
      <c r="AZ46" s="99">
        <v>2</v>
      </c>
      <c r="CA46" s="90">
        <v>159</v>
      </c>
      <c r="CB46" s="90" t="s">
        <v>610</v>
      </c>
      <c r="CC46" s="90">
        <v>416267.5</v>
      </c>
      <c r="CD46" s="129">
        <v>45370</v>
      </c>
      <c r="CE46" s="129" t="s">
        <v>577</v>
      </c>
      <c r="CG46" s="90">
        <v>11</v>
      </c>
      <c r="CH46" s="90" t="s">
        <v>464</v>
      </c>
      <c r="CI46" s="90">
        <v>2911</v>
      </c>
      <c r="CJ46" s="91">
        <v>41080</v>
      </c>
      <c r="CK46" s="91"/>
      <c r="CL46" s="91"/>
      <c r="CM46" s="91"/>
      <c r="CN46" s="91"/>
      <c r="CO46" s="91"/>
      <c r="CP46" s="91" t="s">
        <v>448</v>
      </c>
      <c r="CR46">
        <v>54</v>
      </c>
      <c r="CS46" t="s">
        <v>413</v>
      </c>
      <c r="CT46">
        <v>13671</v>
      </c>
      <c r="CU46" s="128">
        <v>45736</v>
      </c>
      <c r="CW46">
        <v>33</v>
      </c>
      <c r="CX46" t="s">
        <v>325</v>
      </c>
      <c r="CY46">
        <v>5</v>
      </c>
      <c r="CZ46">
        <v>6387</v>
      </c>
      <c r="DA46" s="12">
        <v>41115</v>
      </c>
    </row>
    <row r="47" spans="1:121">
      <c r="A47" s="36">
        <v>125</v>
      </c>
      <c r="B47" s="37" t="s">
        <v>881</v>
      </c>
      <c r="C47" s="38">
        <v>23040</v>
      </c>
      <c r="D47" s="39">
        <v>45614</v>
      </c>
      <c r="E47" s="99"/>
      <c r="F47" s="99"/>
      <c r="G47" s="99"/>
      <c r="H47" s="99"/>
      <c r="I47" s="99"/>
      <c r="AV47" s="97">
        <v>34</v>
      </c>
      <c r="AW47" s="90" t="s">
        <v>691</v>
      </c>
      <c r="AX47" s="98">
        <v>70000</v>
      </c>
      <c r="AY47" s="91">
        <v>43518</v>
      </c>
      <c r="AZ47" s="99">
        <v>2</v>
      </c>
      <c r="CA47" s="90">
        <v>160</v>
      </c>
      <c r="CB47" s="90" t="s">
        <v>611</v>
      </c>
      <c r="CC47" s="90">
        <v>486922.5</v>
      </c>
      <c r="CD47" s="129">
        <v>45370</v>
      </c>
      <c r="CE47" s="129" t="s">
        <v>577</v>
      </c>
      <c r="CG47" s="90">
        <v>67</v>
      </c>
      <c r="CH47" s="90" t="s">
        <v>517</v>
      </c>
      <c r="CI47" s="90">
        <v>4330</v>
      </c>
      <c r="CJ47" s="91">
        <v>42209</v>
      </c>
      <c r="CK47" s="91"/>
      <c r="CL47" s="91"/>
      <c r="CM47" s="91"/>
      <c r="CN47" s="91"/>
      <c r="CO47" s="91"/>
      <c r="CP47" s="91" t="s">
        <v>448</v>
      </c>
      <c r="CR47">
        <v>55</v>
      </c>
      <c r="CS47" t="s">
        <v>414</v>
      </c>
      <c r="CT47">
        <v>13671</v>
      </c>
      <c r="CU47" s="128">
        <v>45736</v>
      </c>
      <c r="CW47">
        <v>64</v>
      </c>
      <c r="CX47" t="s">
        <v>354</v>
      </c>
      <c r="CY47">
        <v>5</v>
      </c>
      <c r="CZ47">
        <v>9875</v>
      </c>
      <c r="DA47" s="12">
        <v>43159</v>
      </c>
    </row>
    <row r="48" spans="1:121">
      <c r="A48" s="35">
        <v>126</v>
      </c>
      <c r="B48" s="5" t="s">
        <v>882</v>
      </c>
      <c r="C48" s="33">
        <v>23040</v>
      </c>
      <c r="D48" s="34">
        <v>45614</v>
      </c>
      <c r="E48" s="99"/>
      <c r="F48" s="99"/>
      <c r="G48" s="99"/>
      <c r="H48" s="99"/>
      <c r="I48" s="99"/>
      <c r="AV48" s="97">
        <v>36</v>
      </c>
      <c r="AW48" s="90" t="s">
        <v>693</v>
      </c>
      <c r="AX48" s="98">
        <v>80000</v>
      </c>
      <c r="AY48" s="91">
        <v>43518</v>
      </c>
      <c r="AZ48" s="12">
        <v>2</v>
      </c>
      <c r="CA48" s="90">
        <v>161</v>
      </c>
      <c r="CB48" s="90" t="s">
        <v>612</v>
      </c>
      <c r="CC48" s="90">
        <v>131667</v>
      </c>
      <c r="CD48" s="148">
        <v>45677</v>
      </c>
      <c r="CE48" s="148" t="s">
        <v>566</v>
      </c>
      <c r="CG48" s="90">
        <v>10</v>
      </c>
      <c r="CH48" s="90" t="s">
        <v>463</v>
      </c>
      <c r="CI48" s="90">
        <v>7310</v>
      </c>
      <c r="CJ48" s="91">
        <v>41080</v>
      </c>
      <c r="CK48" s="91"/>
      <c r="CL48" s="91"/>
      <c r="CM48" s="91"/>
      <c r="CN48" s="91"/>
      <c r="CO48" s="91"/>
      <c r="CP48" s="91" t="s">
        <v>448</v>
      </c>
      <c r="CR48">
        <v>56</v>
      </c>
      <c r="CS48" t="s">
        <v>415</v>
      </c>
      <c r="CT48">
        <v>13671</v>
      </c>
      <c r="CU48" s="128">
        <v>45736</v>
      </c>
      <c r="CW48">
        <v>65</v>
      </c>
      <c r="CX48" t="s">
        <v>355</v>
      </c>
      <c r="CY48">
        <v>5</v>
      </c>
      <c r="CZ48">
        <v>9875</v>
      </c>
      <c r="DA48" s="12">
        <v>43159</v>
      </c>
    </row>
    <row r="49" spans="1:105">
      <c r="A49" s="35">
        <v>127</v>
      </c>
      <c r="B49" s="5" t="s">
        <v>883</v>
      </c>
      <c r="C49" s="33">
        <v>22440</v>
      </c>
      <c r="D49" s="34">
        <v>45614</v>
      </c>
      <c r="E49" s="99"/>
      <c r="F49" s="99"/>
      <c r="G49" s="99"/>
      <c r="H49" s="99"/>
      <c r="I49" s="99"/>
      <c r="AV49" s="97">
        <v>73</v>
      </c>
      <c r="AW49" s="90" t="s">
        <v>709</v>
      </c>
      <c r="AX49" s="98">
        <v>65000</v>
      </c>
      <c r="AY49" s="91">
        <v>43518</v>
      </c>
      <c r="AZ49" s="12">
        <v>2</v>
      </c>
      <c r="CA49" s="90">
        <v>162</v>
      </c>
      <c r="CB49" s="90" t="s">
        <v>613</v>
      </c>
      <c r="CC49" s="90">
        <v>168200</v>
      </c>
      <c r="CD49" s="148">
        <v>45698</v>
      </c>
      <c r="CE49" s="148" t="s">
        <v>566</v>
      </c>
      <c r="CG49" s="90">
        <v>96</v>
      </c>
      <c r="CH49" s="90" t="s">
        <v>545</v>
      </c>
      <c r="CI49" s="90">
        <v>20760</v>
      </c>
      <c r="CJ49" s="91">
        <v>44447</v>
      </c>
      <c r="CK49" s="91">
        <v>2</v>
      </c>
      <c r="CL49" s="91"/>
      <c r="CM49" s="91"/>
      <c r="CN49" s="91"/>
      <c r="CO49" s="91"/>
      <c r="CP49" s="91" t="s">
        <v>448</v>
      </c>
      <c r="CR49">
        <v>57</v>
      </c>
      <c r="CS49" t="s">
        <v>416</v>
      </c>
      <c r="CT49">
        <v>13671</v>
      </c>
      <c r="CU49" s="128">
        <v>45736</v>
      </c>
      <c r="CW49">
        <v>66</v>
      </c>
      <c r="CX49" t="s">
        <v>356</v>
      </c>
      <c r="CY49">
        <v>5</v>
      </c>
      <c r="CZ49">
        <v>9875</v>
      </c>
      <c r="DA49" s="12">
        <v>43159</v>
      </c>
    </row>
    <row r="50" spans="1:105">
      <c r="A50" s="35">
        <v>128</v>
      </c>
      <c r="B50" s="5" t="s">
        <v>884</v>
      </c>
      <c r="C50" s="33">
        <v>22440</v>
      </c>
      <c r="D50" s="34">
        <v>45614</v>
      </c>
      <c r="E50" s="99"/>
      <c r="F50" s="99"/>
      <c r="G50" s="99"/>
      <c r="H50" s="99"/>
      <c r="I50" s="99"/>
      <c r="AV50" s="97">
        <v>117</v>
      </c>
      <c r="AW50" s="90" t="s">
        <v>725</v>
      </c>
      <c r="AX50" s="98">
        <v>31850</v>
      </c>
      <c r="AY50" s="91">
        <v>42066</v>
      </c>
      <c r="AZ50" s="12">
        <v>2</v>
      </c>
      <c r="CA50" s="90">
        <v>163</v>
      </c>
      <c r="CB50" s="90" t="s">
        <v>614</v>
      </c>
      <c r="CC50" s="90">
        <v>102210</v>
      </c>
      <c r="CD50" s="148">
        <v>45971</v>
      </c>
      <c r="CE50" s="148" t="s">
        <v>566</v>
      </c>
      <c r="CG50" s="90">
        <v>109</v>
      </c>
      <c r="CH50" s="90" t="s">
        <v>556</v>
      </c>
      <c r="CI50" s="90">
        <v>20833</v>
      </c>
      <c r="CJ50" s="91">
        <v>45699</v>
      </c>
      <c r="CK50" s="91"/>
      <c r="CL50" s="91"/>
      <c r="CM50" s="91"/>
      <c r="CN50" s="91"/>
      <c r="CO50" s="91"/>
      <c r="CP50" s="91" t="s">
        <v>448</v>
      </c>
      <c r="CR50">
        <v>58</v>
      </c>
      <c r="CS50" t="s">
        <v>417</v>
      </c>
      <c r="CT50">
        <v>13671</v>
      </c>
      <c r="CU50" s="128">
        <v>45736</v>
      </c>
      <c r="CW50">
        <v>67</v>
      </c>
      <c r="CX50" t="s">
        <v>357</v>
      </c>
      <c r="CY50">
        <v>5</v>
      </c>
      <c r="CZ50">
        <v>9875</v>
      </c>
      <c r="DA50" s="12">
        <v>43159</v>
      </c>
    </row>
    <row r="51" spans="1:105">
      <c r="A51" s="35">
        <v>129</v>
      </c>
      <c r="B51" s="5" t="s">
        <v>885</v>
      </c>
      <c r="C51" s="33">
        <v>22280</v>
      </c>
      <c r="D51" s="34">
        <v>45614</v>
      </c>
      <c r="E51" s="99"/>
      <c r="F51" s="99"/>
      <c r="G51" s="99"/>
      <c r="H51" s="99"/>
      <c r="I51" s="99"/>
      <c r="AV51" s="97">
        <v>183</v>
      </c>
      <c r="AW51" s="90" t="s">
        <v>768</v>
      </c>
      <c r="AX51" s="98">
        <v>63700</v>
      </c>
      <c r="AY51" s="91">
        <v>45874</v>
      </c>
      <c r="CG51" s="90">
        <v>110</v>
      </c>
      <c r="CH51" s="90" t="s">
        <v>557</v>
      </c>
      <c r="CI51" s="90">
        <v>17500</v>
      </c>
      <c r="CJ51" s="91">
        <v>45699</v>
      </c>
      <c r="CK51" s="91"/>
      <c r="CL51" s="91"/>
      <c r="CM51" s="91"/>
      <c r="CN51" s="91"/>
      <c r="CO51" s="91"/>
      <c r="CP51" s="91" t="s">
        <v>448</v>
      </c>
      <c r="CR51">
        <v>59</v>
      </c>
      <c r="CS51" t="s">
        <v>418</v>
      </c>
      <c r="CT51">
        <v>13671</v>
      </c>
      <c r="CU51" s="128">
        <v>45736</v>
      </c>
      <c r="CW51">
        <v>71</v>
      </c>
      <c r="CX51" t="s">
        <v>361</v>
      </c>
      <c r="CY51">
        <v>5</v>
      </c>
      <c r="CZ51">
        <v>6000</v>
      </c>
      <c r="DA51" s="12">
        <v>43159</v>
      </c>
    </row>
    <row r="52" spans="1:105">
      <c r="A52" s="35">
        <v>130</v>
      </c>
      <c r="B52" s="5" t="s">
        <v>886</v>
      </c>
      <c r="C52" s="33">
        <v>20720</v>
      </c>
      <c r="D52" s="34">
        <v>45614</v>
      </c>
      <c r="E52" s="99"/>
      <c r="F52" s="99"/>
      <c r="G52" s="99"/>
      <c r="H52" s="99"/>
      <c r="I52" s="99"/>
      <c r="AV52" s="97">
        <v>177</v>
      </c>
      <c r="AW52" s="90" t="s">
        <v>763</v>
      </c>
      <c r="AX52" s="98">
        <v>52850</v>
      </c>
      <c r="AY52" s="91">
        <v>45874</v>
      </c>
      <c r="CG52" s="90">
        <v>101</v>
      </c>
      <c r="CH52" s="90" t="s">
        <v>550</v>
      </c>
      <c r="CI52" s="90">
        <v>22560</v>
      </c>
      <c r="CJ52" s="91">
        <v>44945</v>
      </c>
      <c r="CK52" s="91"/>
      <c r="CL52" s="91"/>
      <c r="CM52" s="91"/>
      <c r="CN52" s="91"/>
      <c r="CO52" s="91"/>
      <c r="CP52" s="91" t="s">
        <v>448</v>
      </c>
      <c r="CR52">
        <v>60</v>
      </c>
      <c r="CS52" t="s">
        <v>419</v>
      </c>
      <c r="CT52">
        <v>13671</v>
      </c>
      <c r="CU52" s="128">
        <v>45736</v>
      </c>
      <c r="CW52">
        <v>68</v>
      </c>
      <c r="CX52" t="s">
        <v>358</v>
      </c>
      <c r="CY52">
        <v>5</v>
      </c>
      <c r="CZ52">
        <v>8487</v>
      </c>
      <c r="DA52" s="12">
        <v>43159</v>
      </c>
    </row>
    <row r="53" spans="1:105">
      <c r="A53" s="35">
        <v>131</v>
      </c>
      <c r="B53" s="5" t="s">
        <v>887</v>
      </c>
      <c r="C53" s="33">
        <v>20720</v>
      </c>
      <c r="D53" s="34">
        <v>45614</v>
      </c>
      <c r="E53" s="99"/>
      <c r="F53" s="99"/>
      <c r="G53" s="99"/>
      <c r="H53" s="99"/>
      <c r="I53" s="99"/>
      <c r="AV53" s="97">
        <v>180</v>
      </c>
      <c r="AW53" s="90" t="s">
        <v>766</v>
      </c>
      <c r="AX53" s="98">
        <v>77150</v>
      </c>
      <c r="AY53" s="91">
        <v>45874</v>
      </c>
      <c r="CG53" s="90">
        <v>86</v>
      </c>
      <c r="CH53" s="90" t="s">
        <v>535</v>
      </c>
      <c r="CI53" s="90">
        <v>93280</v>
      </c>
      <c r="CJ53" s="91">
        <v>43523</v>
      </c>
      <c r="CK53" s="91"/>
      <c r="CL53" s="91"/>
      <c r="CM53" s="91"/>
      <c r="CN53" s="91"/>
      <c r="CO53" s="91"/>
      <c r="CP53" s="91" t="s">
        <v>448</v>
      </c>
      <c r="CR53">
        <v>61</v>
      </c>
      <c r="CS53" t="s">
        <v>420</v>
      </c>
      <c r="CT53">
        <v>65756.407500000001</v>
      </c>
      <c r="CU53" s="128">
        <v>45736</v>
      </c>
      <c r="CW53">
        <v>69</v>
      </c>
      <c r="CX53" t="s">
        <v>359</v>
      </c>
      <c r="CY53">
        <v>5</v>
      </c>
      <c r="CZ53">
        <v>8487</v>
      </c>
      <c r="DA53" s="12">
        <v>43159</v>
      </c>
    </row>
    <row r="54" spans="1:105">
      <c r="A54" s="35">
        <v>132</v>
      </c>
      <c r="B54" s="5" t="s">
        <v>888</v>
      </c>
      <c r="C54" s="33">
        <v>20720</v>
      </c>
      <c r="D54" s="34">
        <v>45614</v>
      </c>
      <c r="E54" s="99"/>
      <c r="F54" s="99"/>
      <c r="G54" s="99"/>
      <c r="H54" s="99"/>
      <c r="I54" s="99"/>
      <c r="AV54" s="97">
        <v>182</v>
      </c>
      <c r="AW54" s="90" t="s">
        <v>767</v>
      </c>
      <c r="AX54" s="98">
        <v>110500</v>
      </c>
      <c r="AY54" s="91">
        <v>45874</v>
      </c>
      <c r="CG54" s="90">
        <v>28</v>
      </c>
      <c r="CH54" s="90" t="s">
        <v>481</v>
      </c>
      <c r="CI54" s="90">
        <v>2313</v>
      </c>
      <c r="CJ54" s="91">
        <v>42396</v>
      </c>
      <c r="CK54" s="91"/>
      <c r="CL54" s="91"/>
      <c r="CM54" s="91"/>
      <c r="CN54" s="91"/>
      <c r="CO54" s="91"/>
      <c r="CP54" s="91" t="s">
        <v>448</v>
      </c>
      <c r="CR54">
        <v>62</v>
      </c>
      <c r="CS54" t="s">
        <v>421</v>
      </c>
      <c r="CT54">
        <v>100195.2</v>
      </c>
      <c r="CU54" s="128">
        <v>45736</v>
      </c>
      <c r="CW54">
        <v>70</v>
      </c>
      <c r="CX54" t="s">
        <v>360</v>
      </c>
      <c r="CY54">
        <v>5</v>
      </c>
      <c r="CZ54">
        <v>8487</v>
      </c>
      <c r="DA54" s="109">
        <v>43159</v>
      </c>
    </row>
    <row r="55" spans="1:105">
      <c r="A55" s="35">
        <v>133</v>
      </c>
      <c r="B55" s="5" t="s">
        <v>889</v>
      </c>
      <c r="C55" s="33">
        <v>20720</v>
      </c>
      <c r="D55" s="34">
        <v>45614</v>
      </c>
      <c r="E55" s="99"/>
      <c r="F55" s="99"/>
      <c r="G55" s="99"/>
      <c r="H55" s="99"/>
      <c r="I55" s="99"/>
      <c r="AV55" s="97">
        <v>178</v>
      </c>
      <c r="AW55" s="90" t="s">
        <v>764</v>
      </c>
      <c r="AX55" s="98">
        <v>66750</v>
      </c>
      <c r="AY55" s="91">
        <v>45874</v>
      </c>
      <c r="CG55" s="90">
        <v>48</v>
      </c>
      <c r="CH55" s="90" t="s">
        <v>500</v>
      </c>
      <c r="CI55" s="90">
        <v>33760</v>
      </c>
      <c r="CJ55" s="108">
        <v>41471</v>
      </c>
      <c r="CK55" s="108"/>
      <c r="CL55" s="108"/>
      <c r="CM55" s="108"/>
      <c r="CN55" s="108"/>
      <c r="CO55" s="108"/>
      <c r="CP55" s="108" t="s">
        <v>448</v>
      </c>
      <c r="CR55">
        <v>63</v>
      </c>
      <c r="CS55" t="s">
        <v>422</v>
      </c>
      <c r="CT55">
        <v>93936.307499999995</v>
      </c>
      <c r="CU55" s="128">
        <v>45736</v>
      </c>
      <c r="CW55">
        <v>62</v>
      </c>
      <c r="CX55" t="s">
        <v>352</v>
      </c>
      <c r="CY55">
        <v>5</v>
      </c>
      <c r="CZ55">
        <v>9750</v>
      </c>
      <c r="DA55" s="122">
        <v>42779</v>
      </c>
    </row>
    <row r="56" spans="1:105">
      <c r="A56" s="35">
        <v>134</v>
      </c>
      <c r="B56" s="5" t="s">
        <v>890</v>
      </c>
      <c r="C56" s="33">
        <v>20720</v>
      </c>
      <c r="D56" s="34">
        <v>45614</v>
      </c>
      <c r="E56" s="99"/>
      <c r="F56" s="99"/>
      <c r="G56" s="99"/>
      <c r="H56" s="99"/>
      <c r="I56" s="99"/>
      <c r="AV56" s="97">
        <v>179</v>
      </c>
      <c r="AW56" s="90" t="s">
        <v>765</v>
      </c>
      <c r="AX56" s="98">
        <v>86600</v>
      </c>
      <c r="AY56" s="91">
        <v>45874</v>
      </c>
      <c r="CG56" s="90">
        <v>46</v>
      </c>
      <c r="CH56" s="90" t="s">
        <v>499</v>
      </c>
      <c r="CI56" s="90">
        <v>34510</v>
      </c>
      <c r="CJ56" s="108">
        <v>41471</v>
      </c>
      <c r="CK56" s="108"/>
      <c r="CL56" s="108"/>
      <c r="CM56" s="108"/>
      <c r="CN56" s="108"/>
      <c r="CO56" s="108"/>
      <c r="CP56" s="108" t="s">
        <v>448</v>
      </c>
      <c r="CR56">
        <v>64</v>
      </c>
      <c r="CS56" t="s">
        <v>423</v>
      </c>
      <c r="CT56">
        <v>143141.98499999999</v>
      </c>
      <c r="CU56" s="128">
        <v>45736</v>
      </c>
      <c r="CW56">
        <v>75</v>
      </c>
      <c r="CX56" t="s">
        <v>365</v>
      </c>
      <c r="CY56">
        <v>5</v>
      </c>
      <c r="CZ56">
        <v>12296</v>
      </c>
      <c r="DA56" s="122">
        <v>44354</v>
      </c>
    </row>
    <row r="57" spans="1:105">
      <c r="A57" s="35">
        <v>135</v>
      </c>
      <c r="B57" s="5" t="s">
        <v>891</v>
      </c>
      <c r="C57" s="33">
        <v>20720</v>
      </c>
      <c r="D57" s="34">
        <v>45614</v>
      </c>
      <c r="E57" s="99"/>
      <c r="F57" s="99"/>
      <c r="G57" s="99"/>
      <c r="H57" s="99"/>
      <c r="I57" s="99"/>
      <c r="AV57" s="97">
        <v>181</v>
      </c>
      <c r="AW57" s="90" t="s">
        <v>765</v>
      </c>
      <c r="AX57" s="98">
        <v>100850</v>
      </c>
      <c r="AY57" s="91">
        <v>45874</v>
      </c>
      <c r="CG57" s="90">
        <v>94</v>
      </c>
      <c r="CH57" s="90" t="s">
        <v>543</v>
      </c>
      <c r="CI57" s="90">
        <v>1700</v>
      </c>
      <c r="CJ57" s="108">
        <v>43944</v>
      </c>
      <c r="CK57" s="108"/>
      <c r="CL57" s="108"/>
      <c r="CM57" s="108"/>
      <c r="CN57" s="108"/>
      <c r="CO57" s="108"/>
      <c r="CP57" s="108" t="s">
        <v>448</v>
      </c>
      <c r="CR57">
        <v>65</v>
      </c>
      <c r="CS57" t="s">
        <v>424</v>
      </c>
      <c r="CT57">
        <v>132836.91750000001</v>
      </c>
      <c r="CU57" s="128">
        <v>45736</v>
      </c>
      <c r="CW57">
        <v>59</v>
      </c>
      <c r="CX57" t="s">
        <v>349</v>
      </c>
      <c r="CY57">
        <v>5</v>
      </c>
      <c r="CZ57">
        <v>18000</v>
      </c>
      <c r="DA57" s="122">
        <v>42577</v>
      </c>
    </row>
    <row r="58" spans="1:105">
      <c r="A58" s="35">
        <v>136</v>
      </c>
      <c r="B58" s="5" t="s">
        <v>892</v>
      </c>
      <c r="C58" s="33">
        <v>20720</v>
      </c>
      <c r="D58" s="34">
        <v>45614</v>
      </c>
      <c r="E58" s="99"/>
      <c r="F58" s="99"/>
      <c r="G58" s="99"/>
      <c r="H58" s="99"/>
      <c r="I58" s="99"/>
      <c r="AV58" s="97">
        <v>171</v>
      </c>
      <c r="AW58" s="90" t="s">
        <v>757</v>
      </c>
      <c r="AX58" s="98">
        <v>41700</v>
      </c>
      <c r="AY58" s="91">
        <v>45741</v>
      </c>
      <c r="AZ58" s="12">
        <v>2</v>
      </c>
      <c r="CG58" s="90">
        <v>108</v>
      </c>
      <c r="CH58" s="90" t="s">
        <v>555</v>
      </c>
      <c r="CI58" s="90">
        <v>7100</v>
      </c>
      <c r="CJ58" s="108">
        <v>45610</v>
      </c>
      <c r="CK58" s="108"/>
      <c r="CL58" s="108"/>
      <c r="CM58" s="108"/>
      <c r="CN58" s="108"/>
      <c r="CO58" s="108"/>
      <c r="CP58" s="108" t="s">
        <v>448</v>
      </c>
      <c r="CR58">
        <v>66</v>
      </c>
      <c r="CS58" t="s">
        <v>425</v>
      </c>
      <c r="CT58">
        <v>144605.0025</v>
      </c>
      <c r="CU58" s="128">
        <v>45736</v>
      </c>
      <c r="CW58">
        <v>74</v>
      </c>
      <c r="CX58" t="s">
        <v>364</v>
      </c>
      <c r="CY58">
        <v>5</v>
      </c>
      <c r="CZ58">
        <v>12500</v>
      </c>
      <c r="DA58" s="122">
        <v>44084</v>
      </c>
    </row>
    <row r="59" spans="1:105">
      <c r="A59" s="36">
        <v>137</v>
      </c>
      <c r="B59" s="37" t="s">
        <v>893</v>
      </c>
      <c r="C59" s="38">
        <v>20720</v>
      </c>
      <c r="D59" s="39">
        <v>45614</v>
      </c>
      <c r="E59" s="99"/>
      <c r="F59" s="99"/>
      <c r="G59" s="99"/>
      <c r="H59" s="99"/>
      <c r="I59" s="99"/>
      <c r="AV59" s="97">
        <v>176</v>
      </c>
      <c r="AW59" s="90" t="s">
        <v>762</v>
      </c>
      <c r="AX59" s="98">
        <v>47917</v>
      </c>
      <c r="AY59" s="91">
        <v>45741</v>
      </c>
      <c r="AZ59" s="12">
        <v>2</v>
      </c>
      <c r="CG59" s="90">
        <v>116</v>
      </c>
      <c r="CH59" s="90" t="s">
        <v>561</v>
      </c>
      <c r="CI59" s="90">
        <v>39685</v>
      </c>
      <c r="CJ59" s="123">
        <v>45904</v>
      </c>
      <c r="CK59" s="123">
        <v>1</v>
      </c>
      <c r="CL59" s="123"/>
      <c r="CM59" s="123"/>
      <c r="CN59" s="123"/>
      <c r="CO59" s="123"/>
      <c r="CP59" s="123" t="s">
        <v>448</v>
      </c>
      <c r="CR59">
        <v>67</v>
      </c>
      <c r="CS59" t="s">
        <v>426</v>
      </c>
      <c r="CT59">
        <v>212538.8475</v>
      </c>
      <c r="CU59" s="128">
        <v>45736</v>
      </c>
      <c r="CW59">
        <v>36</v>
      </c>
      <c r="CX59" t="s">
        <v>327</v>
      </c>
      <c r="CY59">
        <v>5</v>
      </c>
      <c r="CZ59">
        <v>2456.5700000000002</v>
      </c>
      <c r="DA59" s="122">
        <v>41122</v>
      </c>
    </row>
    <row r="60" spans="1:105">
      <c r="A60" s="35">
        <v>138</v>
      </c>
      <c r="B60" s="5" t="s">
        <v>894</v>
      </c>
      <c r="C60" s="33">
        <v>20720</v>
      </c>
      <c r="D60" s="34">
        <v>45614</v>
      </c>
      <c r="E60" s="99"/>
      <c r="F60" s="99"/>
      <c r="G60" s="99"/>
      <c r="H60" s="99"/>
      <c r="I60" s="99"/>
      <c r="AV60" s="97">
        <v>168</v>
      </c>
      <c r="AW60" s="90" t="s">
        <v>754</v>
      </c>
      <c r="AX60" s="98">
        <v>50500</v>
      </c>
      <c r="AY60" s="91">
        <v>45447</v>
      </c>
      <c r="CG60" s="90">
        <v>64</v>
      </c>
      <c r="CH60" s="90" t="s">
        <v>514</v>
      </c>
      <c r="CI60" s="90">
        <v>11540</v>
      </c>
      <c r="CJ60" s="123">
        <v>45364</v>
      </c>
      <c r="CK60" s="123"/>
      <c r="CL60" s="123"/>
      <c r="CM60" s="123"/>
      <c r="CN60" s="123"/>
      <c r="CO60" s="123"/>
      <c r="CP60" s="123" t="s">
        <v>448</v>
      </c>
      <c r="CR60">
        <v>68</v>
      </c>
      <c r="CS60" t="s">
        <v>427</v>
      </c>
      <c r="CT60">
        <v>231368.44500000001</v>
      </c>
      <c r="CU60" s="128">
        <v>45736</v>
      </c>
      <c r="CW60">
        <v>37</v>
      </c>
      <c r="CX60" t="s">
        <v>328</v>
      </c>
      <c r="CY60">
        <v>5</v>
      </c>
      <c r="CZ60">
        <v>1863</v>
      </c>
      <c r="DA60" s="122">
        <v>41122</v>
      </c>
    </row>
    <row r="61" spans="1:105">
      <c r="A61" s="35">
        <v>139</v>
      </c>
      <c r="B61" s="5" t="s">
        <v>895</v>
      </c>
      <c r="C61" s="33">
        <v>22760</v>
      </c>
      <c r="D61" s="34">
        <v>45614</v>
      </c>
      <c r="E61" s="99"/>
      <c r="F61" s="99"/>
      <c r="G61" s="99"/>
      <c r="H61" s="99"/>
      <c r="I61" s="99"/>
      <c r="AV61" s="97">
        <v>169</v>
      </c>
      <c r="AW61" s="90" t="s">
        <v>755</v>
      </c>
      <c r="AX61" s="98">
        <v>92750</v>
      </c>
      <c r="AY61" s="91">
        <v>45707</v>
      </c>
      <c r="CG61" s="90">
        <v>65</v>
      </c>
      <c r="CH61" s="90" t="s">
        <v>515</v>
      </c>
      <c r="CI61" s="90">
        <v>6820</v>
      </c>
      <c r="CJ61" s="123">
        <v>45364</v>
      </c>
      <c r="CK61" s="123"/>
      <c r="CL61" s="123"/>
      <c r="CM61" s="123"/>
      <c r="CN61" s="123"/>
      <c r="CO61" s="123"/>
      <c r="CP61" s="123" t="s">
        <v>448</v>
      </c>
      <c r="CR61">
        <v>69</v>
      </c>
      <c r="CS61" t="s">
        <v>184</v>
      </c>
      <c r="CT61">
        <v>0.21</v>
      </c>
      <c r="CU61" s="128"/>
      <c r="CW61">
        <v>41</v>
      </c>
      <c r="CX61" t="s">
        <v>332</v>
      </c>
      <c r="CY61">
        <v>5</v>
      </c>
      <c r="CZ61">
        <v>3738</v>
      </c>
      <c r="DA61" s="122">
        <v>41177</v>
      </c>
    </row>
    <row r="62" spans="1:105">
      <c r="A62" s="35">
        <v>140</v>
      </c>
      <c r="B62" s="5" t="s">
        <v>896</v>
      </c>
      <c r="C62" s="33">
        <v>27656</v>
      </c>
      <c r="D62" s="34">
        <v>45614</v>
      </c>
      <c r="E62" s="99"/>
      <c r="F62" s="99"/>
      <c r="G62" s="99"/>
      <c r="H62" s="99"/>
      <c r="I62" s="99"/>
      <c r="AV62" s="97">
        <v>170</v>
      </c>
      <c r="AW62" s="90" t="s">
        <v>756</v>
      </c>
      <c r="AX62" s="98">
        <v>105917</v>
      </c>
      <c r="AY62" s="91">
        <v>45707</v>
      </c>
      <c r="CG62" s="90">
        <v>30</v>
      </c>
      <c r="CH62" s="90" t="s">
        <v>483</v>
      </c>
      <c r="CI62" s="90">
        <v>49152</v>
      </c>
      <c r="CJ62" s="123">
        <v>42068</v>
      </c>
      <c r="CK62" s="123"/>
      <c r="CL62" s="123"/>
      <c r="CM62" s="123"/>
      <c r="CN62" s="123"/>
      <c r="CO62" s="123"/>
      <c r="CP62" s="123" t="s">
        <v>448</v>
      </c>
      <c r="CR62">
        <v>70</v>
      </c>
      <c r="CS62" t="s">
        <v>185</v>
      </c>
      <c r="CT62">
        <v>1.6</v>
      </c>
      <c r="CU62" s="128"/>
      <c r="CW62">
        <v>60</v>
      </c>
      <c r="CX62" t="s">
        <v>350</v>
      </c>
      <c r="CY62">
        <v>5</v>
      </c>
      <c r="CZ62">
        <v>18200</v>
      </c>
      <c r="DA62" s="122">
        <v>45701</v>
      </c>
    </row>
    <row r="63" spans="1:105">
      <c r="A63" s="35">
        <v>141</v>
      </c>
      <c r="B63" s="5" t="s">
        <v>897</v>
      </c>
      <c r="C63" s="33">
        <v>59695</v>
      </c>
      <c r="D63" s="34">
        <v>45614</v>
      </c>
      <c r="E63" s="99"/>
      <c r="F63" s="99"/>
      <c r="G63" s="99"/>
      <c r="H63" s="99"/>
      <c r="I63" s="99"/>
      <c r="AV63" s="97">
        <v>121</v>
      </c>
      <c r="AW63" s="90" t="s">
        <v>729</v>
      </c>
      <c r="AX63" s="98">
        <v>67260</v>
      </c>
      <c r="AY63" s="91">
        <v>42075</v>
      </c>
      <c r="AZ63" s="12">
        <v>3</v>
      </c>
      <c r="CG63" s="90">
        <v>22</v>
      </c>
      <c r="CH63" s="90" t="s">
        <v>475</v>
      </c>
      <c r="CI63" s="90">
        <v>9366</v>
      </c>
      <c r="CJ63" s="123">
        <v>41121</v>
      </c>
      <c r="CK63" s="123"/>
      <c r="CL63" s="123"/>
      <c r="CM63" s="123"/>
      <c r="CN63" s="123"/>
      <c r="CO63" s="123"/>
      <c r="CP63" s="123" t="s">
        <v>448</v>
      </c>
      <c r="CR63">
        <v>71</v>
      </c>
      <c r="CS63" t="s">
        <v>428</v>
      </c>
      <c r="CT63">
        <v>64809.36</v>
      </c>
      <c r="CU63" s="128">
        <v>45736</v>
      </c>
      <c r="CW63">
        <v>26</v>
      </c>
      <c r="CX63" t="s">
        <v>318</v>
      </c>
      <c r="CY63">
        <v>5</v>
      </c>
      <c r="CZ63">
        <v>3050</v>
      </c>
      <c r="DA63" s="122">
        <v>41078</v>
      </c>
    </row>
    <row r="64" spans="1:105">
      <c r="A64" s="35">
        <v>142</v>
      </c>
      <c r="B64" s="5" t="s">
        <v>898</v>
      </c>
      <c r="C64" s="33">
        <v>21480</v>
      </c>
      <c r="D64" s="34">
        <v>45614</v>
      </c>
      <c r="E64" s="99"/>
      <c r="F64" s="99"/>
      <c r="G64" s="99"/>
      <c r="H64" s="99"/>
      <c r="I64" s="99"/>
      <c r="AV64" s="97">
        <v>9</v>
      </c>
      <c r="AW64" s="90" t="s">
        <v>674</v>
      </c>
      <c r="AX64" s="98">
        <v>1000000000</v>
      </c>
      <c r="AY64" s="91">
        <v>41275</v>
      </c>
      <c r="CG64" s="90">
        <v>4</v>
      </c>
      <c r="CH64" s="90" t="s">
        <v>450</v>
      </c>
      <c r="CI64" s="90">
        <v>1724</v>
      </c>
      <c r="CJ64" s="123">
        <v>40909</v>
      </c>
      <c r="CK64" s="123"/>
      <c r="CL64" s="123"/>
      <c r="CM64" s="123"/>
      <c r="CN64" s="123"/>
      <c r="CO64" s="123"/>
      <c r="CP64" s="123" t="s">
        <v>448</v>
      </c>
      <c r="CR64">
        <v>72</v>
      </c>
      <c r="CS64" t="s">
        <v>429</v>
      </c>
      <c r="CT64">
        <v>103695.6375</v>
      </c>
      <c r="CU64" s="128">
        <v>45736</v>
      </c>
      <c r="CW64">
        <v>50</v>
      </c>
      <c r="CX64" t="s">
        <v>340</v>
      </c>
      <c r="CY64">
        <v>5</v>
      </c>
      <c r="CZ64">
        <v>4138</v>
      </c>
      <c r="DA64" s="122">
        <v>41493</v>
      </c>
    </row>
    <row r="65" spans="1:105">
      <c r="A65" s="35">
        <v>143</v>
      </c>
      <c r="B65" s="5" t="s">
        <v>899</v>
      </c>
      <c r="C65" s="33">
        <v>21480</v>
      </c>
      <c r="D65" s="34">
        <v>45614</v>
      </c>
      <c r="E65" s="99"/>
      <c r="F65" s="99"/>
      <c r="G65" s="99"/>
      <c r="H65" s="99"/>
      <c r="I65" s="99"/>
      <c r="AV65" s="97">
        <v>65</v>
      </c>
      <c r="AW65" s="90" t="s">
        <v>706</v>
      </c>
      <c r="AX65" s="98">
        <v>51600</v>
      </c>
      <c r="AY65" s="91">
        <v>42016</v>
      </c>
      <c r="AZ65" s="12">
        <v>1</v>
      </c>
      <c r="CG65" s="90">
        <v>5</v>
      </c>
      <c r="CH65" s="90" t="s">
        <v>451</v>
      </c>
      <c r="CI65" s="90">
        <v>11315</v>
      </c>
      <c r="CJ65" s="123">
        <v>40909</v>
      </c>
      <c r="CK65" s="123"/>
      <c r="CL65" s="123"/>
      <c r="CM65" s="123"/>
      <c r="CN65" s="123"/>
      <c r="CO65" s="123"/>
      <c r="CP65" s="123" t="s">
        <v>448</v>
      </c>
      <c r="CR65">
        <v>73</v>
      </c>
      <c r="CS65" t="s">
        <v>430</v>
      </c>
      <c r="CT65">
        <v>18839.52</v>
      </c>
      <c r="CU65" s="128">
        <v>45736</v>
      </c>
      <c r="CW65">
        <v>46</v>
      </c>
      <c r="CX65" t="s">
        <v>336</v>
      </c>
      <c r="CY65">
        <v>5</v>
      </c>
      <c r="CZ65">
        <v>2423</v>
      </c>
      <c r="DA65" s="122">
        <v>41291</v>
      </c>
    </row>
    <row r="66" spans="1:105">
      <c r="A66" s="35">
        <v>144</v>
      </c>
      <c r="B66" s="5" t="s">
        <v>900</v>
      </c>
      <c r="C66" s="33">
        <v>21480</v>
      </c>
      <c r="D66" s="34">
        <v>45614</v>
      </c>
      <c r="E66" s="99"/>
      <c r="F66" s="99"/>
      <c r="G66" s="99"/>
      <c r="H66" s="99"/>
      <c r="I66" s="99"/>
      <c r="AV66" s="97">
        <v>70</v>
      </c>
      <c r="AW66" s="90" t="s">
        <v>708</v>
      </c>
      <c r="AX66" s="98">
        <v>50800</v>
      </c>
      <c r="AY66" s="91">
        <v>42016</v>
      </c>
      <c r="AZ66" s="12">
        <v>1</v>
      </c>
      <c r="CG66" s="90">
        <v>88</v>
      </c>
      <c r="CH66" s="90" t="s">
        <v>537</v>
      </c>
      <c r="CI66" s="90">
        <v>8000</v>
      </c>
      <c r="CJ66" s="123">
        <v>43523</v>
      </c>
      <c r="CK66" s="123"/>
      <c r="CL66" s="123"/>
      <c r="CM66" s="123"/>
      <c r="CN66" s="123"/>
      <c r="CO66" s="123"/>
      <c r="CP66" s="123" t="s">
        <v>448</v>
      </c>
      <c r="CR66">
        <v>74</v>
      </c>
      <c r="CS66" t="s">
        <v>431</v>
      </c>
      <c r="CT66">
        <v>11774.7</v>
      </c>
      <c r="CU66" s="128">
        <v>45736</v>
      </c>
      <c r="CW66">
        <v>45</v>
      </c>
      <c r="CX66" t="s">
        <v>335</v>
      </c>
      <c r="CY66">
        <v>5</v>
      </c>
      <c r="CZ66">
        <v>2423</v>
      </c>
      <c r="DA66" s="122">
        <v>41291</v>
      </c>
    </row>
    <row r="67" spans="1:105">
      <c r="A67" s="35">
        <v>145</v>
      </c>
      <c r="B67" s="5" t="s">
        <v>901</v>
      </c>
      <c r="C67" s="33">
        <v>21480</v>
      </c>
      <c r="D67" s="34">
        <v>45614</v>
      </c>
      <c r="E67" s="99"/>
      <c r="F67" s="99"/>
      <c r="G67" s="99"/>
      <c r="H67" s="99"/>
      <c r="I67" s="99"/>
      <c r="AV67" s="97">
        <v>66</v>
      </c>
      <c r="AW67" s="90" t="s">
        <v>707</v>
      </c>
      <c r="AX67" s="98">
        <v>50800</v>
      </c>
      <c r="AY67" s="91">
        <v>42016</v>
      </c>
      <c r="AZ67" s="12">
        <v>1</v>
      </c>
      <c r="CG67" s="90">
        <v>87</v>
      </c>
      <c r="CH67" s="90" t="s">
        <v>536</v>
      </c>
      <c r="CI67" s="90">
        <v>7900</v>
      </c>
      <c r="CJ67" s="123">
        <v>43523</v>
      </c>
      <c r="CK67" s="123"/>
      <c r="CL67" s="123"/>
      <c r="CM67" s="123"/>
      <c r="CN67" s="123"/>
      <c r="CO67" s="123"/>
      <c r="CP67" s="123" t="s">
        <v>448</v>
      </c>
      <c r="CR67">
        <v>75</v>
      </c>
      <c r="CS67" t="s">
        <v>432</v>
      </c>
      <c r="CT67">
        <v>156572.64000000001</v>
      </c>
      <c r="CU67" s="128">
        <v>45736</v>
      </c>
      <c r="CW67">
        <v>13</v>
      </c>
      <c r="CX67" t="s">
        <v>305</v>
      </c>
      <c r="CY67">
        <v>5</v>
      </c>
      <c r="CZ67">
        <v>15532</v>
      </c>
      <c r="DA67" s="122">
        <v>44314</v>
      </c>
    </row>
    <row r="68" spans="1:105">
      <c r="A68" s="35">
        <v>146</v>
      </c>
      <c r="B68" s="5" t="s">
        <v>902</v>
      </c>
      <c r="C68" s="33">
        <v>21480</v>
      </c>
      <c r="D68" s="34">
        <v>45614</v>
      </c>
      <c r="E68" s="99"/>
      <c r="F68" s="99"/>
      <c r="G68" s="99"/>
      <c r="H68" s="99"/>
      <c r="I68" s="99"/>
      <c r="AV68" s="97">
        <v>156</v>
      </c>
      <c r="AW68" s="90" t="s">
        <v>747</v>
      </c>
      <c r="AX68" s="98">
        <v>19000</v>
      </c>
      <c r="AY68" s="91">
        <v>43518</v>
      </c>
      <c r="CG68" s="90">
        <v>23</v>
      </c>
      <c r="CH68" s="90" t="s">
        <v>476</v>
      </c>
      <c r="CI68" s="90">
        <v>2500</v>
      </c>
      <c r="CJ68" s="123">
        <v>41141</v>
      </c>
      <c r="CK68" s="123"/>
      <c r="CL68" s="123"/>
      <c r="CM68" s="123"/>
      <c r="CN68" s="123"/>
      <c r="CO68" s="123"/>
      <c r="CP68" s="123" t="s">
        <v>448</v>
      </c>
      <c r="CR68">
        <v>76</v>
      </c>
      <c r="CS68" t="s">
        <v>433</v>
      </c>
      <c r="CT68">
        <v>102750.795</v>
      </c>
      <c r="CU68" s="128">
        <v>45736</v>
      </c>
      <c r="CW68">
        <v>38</v>
      </c>
      <c r="CX68" t="s">
        <v>329</v>
      </c>
      <c r="CY68">
        <v>5</v>
      </c>
      <c r="CZ68">
        <v>15532</v>
      </c>
      <c r="DA68" s="122">
        <v>44314</v>
      </c>
    </row>
    <row r="69" spans="1:105">
      <c r="A69" s="35">
        <v>147</v>
      </c>
      <c r="B69" s="5" t="s">
        <v>903</v>
      </c>
      <c r="C69" s="33">
        <v>21480</v>
      </c>
      <c r="D69" s="34">
        <v>45614</v>
      </c>
      <c r="E69" s="99"/>
      <c r="F69" s="99"/>
      <c r="G69" s="99"/>
      <c r="H69" s="99"/>
      <c r="I69" s="99"/>
      <c r="AV69" s="97">
        <v>8</v>
      </c>
      <c r="AW69" s="90" t="s">
        <v>673</v>
      </c>
      <c r="AX69" s="98">
        <v>90150</v>
      </c>
      <c r="AY69" s="91">
        <v>45433</v>
      </c>
      <c r="AZ69" s="12">
        <v>2</v>
      </c>
      <c r="CG69" s="90">
        <v>9</v>
      </c>
      <c r="CH69" s="90" t="s">
        <v>460</v>
      </c>
      <c r="CI69" s="90">
        <v>360</v>
      </c>
      <c r="CJ69" s="123">
        <v>45142</v>
      </c>
      <c r="CK69" s="123"/>
      <c r="CL69" s="123" t="s">
        <v>461</v>
      </c>
      <c r="CM69" s="123" t="s">
        <v>462</v>
      </c>
      <c r="CN69" s="123"/>
      <c r="CO69" s="123"/>
      <c r="CP69" s="123" t="s">
        <v>448</v>
      </c>
      <c r="CR69">
        <v>77</v>
      </c>
      <c r="CS69" t="s">
        <v>434</v>
      </c>
      <c r="CT69">
        <v>98757.54</v>
      </c>
      <c r="CU69" s="128">
        <v>45736</v>
      </c>
      <c r="CW69">
        <v>27</v>
      </c>
      <c r="CX69" t="s">
        <v>319</v>
      </c>
      <c r="CY69">
        <v>5</v>
      </c>
      <c r="CZ69">
        <v>14871</v>
      </c>
      <c r="DA69" s="122">
        <v>44314</v>
      </c>
    </row>
    <row r="70" spans="1:105">
      <c r="A70" s="35">
        <v>148</v>
      </c>
      <c r="B70" s="5" t="s">
        <v>904</v>
      </c>
      <c r="C70" s="33">
        <v>21480</v>
      </c>
      <c r="D70" s="34">
        <v>45614</v>
      </c>
      <c r="E70" s="99"/>
      <c r="F70" s="99"/>
      <c r="G70" s="99"/>
      <c r="H70" s="99"/>
      <c r="I70" s="99"/>
      <c r="AV70" s="97">
        <v>1</v>
      </c>
      <c r="AW70" s="90" t="s">
        <v>669</v>
      </c>
      <c r="AX70" s="98">
        <v>26500</v>
      </c>
      <c r="AY70" s="91">
        <v>44747</v>
      </c>
      <c r="CG70" s="90">
        <v>17</v>
      </c>
      <c r="CH70" s="90" t="s">
        <v>470</v>
      </c>
      <c r="CI70" s="90">
        <v>20000</v>
      </c>
      <c r="CJ70" s="123">
        <v>43518</v>
      </c>
      <c r="CK70" s="123">
        <v>1</v>
      </c>
      <c r="CL70" s="123"/>
      <c r="CM70" s="123"/>
      <c r="CN70" s="123"/>
      <c r="CO70" s="123"/>
      <c r="CP70" s="123" t="s">
        <v>448</v>
      </c>
      <c r="CR70">
        <v>78</v>
      </c>
      <c r="CS70" t="s">
        <v>435</v>
      </c>
      <c r="CT70">
        <v>64809.36</v>
      </c>
      <c r="CU70" s="128">
        <v>45736</v>
      </c>
      <c r="CW70">
        <v>28</v>
      </c>
      <c r="CX70" t="s">
        <v>320</v>
      </c>
      <c r="CY70">
        <v>5</v>
      </c>
      <c r="CZ70">
        <v>17074</v>
      </c>
      <c r="DA70" s="122">
        <v>44314</v>
      </c>
    </row>
    <row r="71" spans="1:105">
      <c r="A71" s="36">
        <v>149</v>
      </c>
      <c r="B71" s="37" t="s">
        <v>905</v>
      </c>
      <c r="C71" s="38">
        <v>21480</v>
      </c>
      <c r="D71" s="39">
        <v>45614</v>
      </c>
      <c r="E71" s="99"/>
      <c r="F71" s="99"/>
      <c r="G71" s="99"/>
      <c r="H71" s="99"/>
      <c r="I71" s="99"/>
      <c r="AV71" s="97">
        <v>83</v>
      </c>
      <c r="AW71" s="90" t="s">
        <v>711</v>
      </c>
      <c r="AX71" s="98">
        <v>58750</v>
      </c>
      <c r="AY71" s="91">
        <v>44638</v>
      </c>
      <c r="AZ71" s="12">
        <v>1</v>
      </c>
      <c r="CG71" s="90">
        <v>111</v>
      </c>
      <c r="CH71" s="90" t="s">
        <v>558</v>
      </c>
      <c r="CI71" s="90">
        <v>98000</v>
      </c>
      <c r="CJ71" s="123">
        <v>45742</v>
      </c>
      <c r="CK71" s="123"/>
      <c r="CL71" s="123"/>
      <c r="CM71" s="123"/>
      <c r="CN71" s="123"/>
      <c r="CO71" s="123"/>
      <c r="CP71" s="123" t="s">
        <v>448</v>
      </c>
      <c r="CR71">
        <v>79</v>
      </c>
      <c r="CS71" t="s">
        <v>436</v>
      </c>
      <c r="CT71">
        <v>34740</v>
      </c>
      <c r="CU71" s="128">
        <v>44301</v>
      </c>
      <c r="CW71">
        <v>12</v>
      </c>
      <c r="CX71" t="s">
        <v>304</v>
      </c>
      <c r="CY71">
        <v>5</v>
      </c>
      <c r="CZ71">
        <v>36925</v>
      </c>
      <c r="DA71" s="122">
        <v>44645</v>
      </c>
    </row>
    <row r="72" spans="1:105">
      <c r="A72" s="36">
        <v>150</v>
      </c>
      <c r="B72" s="37" t="s">
        <v>906</v>
      </c>
      <c r="C72" s="38">
        <v>21480</v>
      </c>
      <c r="D72" s="39">
        <v>45614</v>
      </c>
      <c r="E72" s="99"/>
      <c r="F72" s="99"/>
      <c r="G72" s="99"/>
      <c r="H72" s="99"/>
      <c r="I72" s="99"/>
      <c r="AV72" s="97">
        <v>82</v>
      </c>
      <c r="AW72" s="90" t="s">
        <v>710</v>
      </c>
      <c r="AX72" s="98">
        <v>28750</v>
      </c>
      <c r="AY72" s="91">
        <v>44638</v>
      </c>
      <c r="AZ72" s="12">
        <v>1</v>
      </c>
      <c r="CG72" s="90">
        <v>103</v>
      </c>
      <c r="CH72" s="90" t="s">
        <v>551</v>
      </c>
      <c r="CI72" s="90">
        <v>1250</v>
      </c>
      <c r="CJ72" s="123">
        <v>45253</v>
      </c>
      <c r="CK72" s="123"/>
      <c r="CL72" s="123"/>
      <c r="CM72" s="123"/>
      <c r="CN72" s="123"/>
      <c r="CO72" s="123"/>
      <c r="CP72" s="123" t="s">
        <v>448</v>
      </c>
      <c r="CR72">
        <v>80</v>
      </c>
      <c r="CS72" t="s">
        <v>437</v>
      </c>
      <c r="CT72">
        <v>82956.509999999995</v>
      </c>
      <c r="CU72" s="128">
        <v>45736</v>
      </c>
      <c r="CW72">
        <v>39</v>
      </c>
      <c r="CX72" t="s">
        <v>330</v>
      </c>
      <c r="CY72">
        <v>5</v>
      </c>
      <c r="CZ72">
        <v>34365</v>
      </c>
      <c r="DA72" s="128">
        <v>44697</v>
      </c>
    </row>
    <row r="73" spans="1:105">
      <c r="A73" s="36">
        <v>151</v>
      </c>
      <c r="B73" s="37" t="s">
        <v>907</v>
      </c>
      <c r="C73" s="38">
        <v>21480</v>
      </c>
      <c r="D73" s="39">
        <v>45614</v>
      </c>
      <c r="E73" s="99"/>
      <c r="F73" s="99"/>
      <c r="G73" s="99"/>
      <c r="H73" s="99"/>
      <c r="I73" s="99"/>
      <c r="AV73" s="97">
        <v>41</v>
      </c>
      <c r="AW73" s="90" t="s">
        <v>696</v>
      </c>
      <c r="AX73" s="98">
        <v>33750</v>
      </c>
      <c r="AY73" s="91">
        <v>44638</v>
      </c>
      <c r="AZ73" s="12">
        <v>1</v>
      </c>
      <c r="CG73" s="90">
        <v>15</v>
      </c>
      <c r="CH73" s="90" t="s">
        <v>468</v>
      </c>
      <c r="CI73" s="90">
        <v>33600</v>
      </c>
      <c r="CJ73" s="123">
        <v>41092</v>
      </c>
      <c r="CK73" s="123"/>
      <c r="CL73" s="123"/>
      <c r="CM73" s="123"/>
      <c r="CN73" s="123"/>
      <c r="CO73" s="123"/>
      <c r="CP73" s="123" t="s">
        <v>448</v>
      </c>
      <c r="CR73">
        <v>81</v>
      </c>
      <c r="CS73" t="s">
        <v>438</v>
      </c>
      <c r="CT73">
        <v>51848.37</v>
      </c>
      <c r="CU73" s="128">
        <v>45736</v>
      </c>
      <c r="CW73">
        <v>51</v>
      </c>
      <c r="CX73" t="s">
        <v>341</v>
      </c>
      <c r="CY73">
        <v>2</v>
      </c>
      <c r="CZ73">
        <v>18017.5</v>
      </c>
      <c r="DA73" s="128">
        <v>44314</v>
      </c>
    </row>
    <row r="74" spans="1:105">
      <c r="A74" s="100">
        <v>152</v>
      </c>
      <c r="B74" s="90" t="s">
        <v>908</v>
      </c>
      <c r="C74" s="101">
        <v>26136</v>
      </c>
      <c r="D74" s="102">
        <v>45614</v>
      </c>
      <c r="E74" s="99"/>
      <c r="F74" s="99"/>
      <c r="G74" s="99"/>
      <c r="H74" s="99"/>
      <c r="I74" s="99"/>
      <c r="AV74" s="97">
        <v>122</v>
      </c>
      <c r="AW74" s="90" t="s">
        <v>730</v>
      </c>
      <c r="AX74" s="98">
        <v>27500</v>
      </c>
      <c r="AY74" s="91">
        <v>44638</v>
      </c>
      <c r="AZ74" s="12">
        <v>1</v>
      </c>
      <c r="CG74" s="90">
        <v>16</v>
      </c>
      <c r="CH74" s="90" t="s">
        <v>469</v>
      </c>
      <c r="CI74" s="90">
        <v>33600</v>
      </c>
      <c r="CJ74" s="123">
        <v>41092</v>
      </c>
      <c r="CK74" s="123"/>
      <c r="CL74" s="123"/>
      <c r="CM74" s="123"/>
      <c r="CN74" s="123"/>
      <c r="CO74" s="123"/>
      <c r="CP74" s="123" t="s">
        <v>448</v>
      </c>
      <c r="CW74">
        <v>43</v>
      </c>
      <c r="CX74" t="s">
        <v>283</v>
      </c>
      <c r="CY74">
        <v>5</v>
      </c>
      <c r="CZ74">
        <v>16405</v>
      </c>
      <c r="DA74" s="128">
        <v>44314</v>
      </c>
    </row>
    <row r="75" spans="1:105">
      <c r="A75" s="100">
        <v>153</v>
      </c>
      <c r="B75" s="90" t="s">
        <v>909</v>
      </c>
      <c r="C75" s="101">
        <v>31212</v>
      </c>
      <c r="D75" s="102">
        <v>45614</v>
      </c>
      <c r="E75" s="99"/>
      <c r="F75" s="99"/>
      <c r="G75" s="99"/>
      <c r="H75" s="99"/>
      <c r="I75" s="99"/>
      <c r="AV75" s="97">
        <v>42</v>
      </c>
      <c r="AW75" s="90" t="s">
        <v>697</v>
      </c>
      <c r="AX75" s="98">
        <v>27500</v>
      </c>
      <c r="AY75" s="91">
        <v>44638</v>
      </c>
      <c r="AZ75" s="12">
        <v>1</v>
      </c>
      <c r="CA75" s="10"/>
      <c r="CG75" s="90">
        <v>112</v>
      </c>
      <c r="CH75" s="90" t="s">
        <v>559</v>
      </c>
      <c r="CI75" s="90">
        <v>98000</v>
      </c>
      <c r="CJ75" s="123">
        <v>45742</v>
      </c>
      <c r="CK75" s="123"/>
      <c r="CL75" s="123"/>
      <c r="CM75" s="123"/>
      <c r="CN75" s="123"/>
      <c r="CO75" s="123"/>
      <c r="CP75" s="123" t="s">
        <v>448</v>
      </c>
      <c r="CW75">
        <v>44</v>
      </c>
      <c r="CX75" t="s">
        <v>334</v>
      </c>
      <c r="CY75">
        <v>5</v>
      </c>
      <c r="CZ75">
        <v>17717.5</v>
      </c>
      <c r="DA75" s="128">
        <v>44314</v>
      </c>
    </row>
    <row r="76" spans="1:105">
      <c r="A76" s="36">
        <v>154</v>
      </c>
      <c r="B76" s="37" t="s">
        <v>910</v>
      </c>
      <c r="C76" s="38">
        <v>17256</v>
      </c>
      <c r="D76" s="39">
        <v>45614</v>
      </c>
      <c r="AV76" s="97">
        <v>143</v>
      </c>
      <c r="AW76" s="90" t="s">
        <v>741</v>
      </c>
      <c r="AX76" s="98">
        <v>37500</v>
      </c>
      <c r="AY76" s="91">
        <v>44638</v>
      </c>
      <c r="AZ76" s="12">
        <v>1</v>
      </c>
      <c r="CA76" s="10"/>
      <c r="CG76" s="90">
        <v>32</v>
      </c>
      <c r="CH76" s="90" t="s">
        <v>485</v>
      </c>
      <c r="CI76" s="90">
        <v>290</v>
      </c>
      <c r="CJ76" s="123">
        <v>41173</v>
      </c>
      <c r="CK76" s="123"/>
      <c r="CL76" s="123" t="s">
        <v>486</v>
      </c>
      <c r="CM76" s="123"/>
      <c r="CN76" s="123"/>
      <c r="CO76" s="123"/>
      <c r="CP76" s="123" t="s">
        <v>448</v>
      </c>
    </row>
    <row r="77" spans="1:105">
      <c r="A77" s="100">
        <v>155</v>
      </c>
      <c r="B77" s="90" t="s">
        <v>911</v>
      </c>
      <c r="C77" s="101">
        <v>16704</v>
      </c>
      <c r="D77" s="102">
        <v>45614</v>
      </c>
      <c r="AV77" s="97">
        <v>155</v>
      </c>
      <c r="AW77" s="90" t="s">
        <v>746</v>
      </c>
      <c r="AX77" s="98">
        <v>27500</v>
      </c>
      <c r="AY77" s="91">
        <v>43388</v>
      </c>
      <c r="AZ77" s="12">
        <v>1</v>
      </c>
      <c r="CG77" s="90">
        <v>83</v>
      </c>
      <c r="CH77" s="90" t="s">
        <v>532</v>
      </c>
      <c r="CI77" s="90">
        <v>182900</v>
      </c>
      <c r="CJ77" s="123">
        <v>42807</v>
      </c>
      <c r="CK77" s="123">
        <v>2</v>
      </c>
      <c r="CL77" s="123"/>
      <c r="CM77" s="123"/>
      <c r="CN77" s="123"/>
      <c r="CO77" s="123"/>
      <c r="CP77" s="123" t="s">
        <v>448</v>
      </c>
    </row>
    <row r="78" spans="1:105">
      <c r="A78" s="100">
        <v>156</v>
      </c>
      <c r="B78" s="90" t="s">
        <v>912</v>
      </c>
      <c r="C78" s="101">
        <v>16704</v>
      </c>
      <c r="D78" s="102">
        <v>45614</v>
      </c>
      <c r="AV78" s="97">
        <v>10</v>
      </c>
      <c r="AW78" s="90" t="s">
        <v>675</v>
      </c>
      <c r="AX78" s="98">
        <v>62500</v>
      </c>
      <c r="AY78" s="91">
        <v>44638</v>
      </c>
      <c r="AZ78" s="12">
        <v>1</v>
      </c>
      <c r="CG78" s="90">
        <v>82</v>
      </c>
      <c r="CH78" s="90" t="s">
        <v>531</v>
      </c>
      <c r="CI78" s="90">
        <v>145850</v>
      </c>
      <c r="CJ78" s="123">
        <v>44671</v>
      </c>
      <c r="CK78" s="123">
        <v>2</v>
      </c>
      <c r="CL78" s="123"/>
      <c r="CM78" s="123"/>
      <c r="CN78" s="123"/>
      <c r="CO78" s="123"/>
      <c r="CP78" s="123" t="s">
        <v>448</v>
      </c>
    </row>
    <row r="79" spans="1:105">
      <c r="A79" s="100">
        <v>157</v>
      </c>
      <c r="B79" s="90" t="s">
        <v>291</v>
      </c>
      <c r="C79" s="101">
        <v>16704</v>
      </c>
      <c r="D79" s="102">
        <v>45614</v>
      </c>
      <c r="AV79" s="97">
        <v>48</v>
      </c>
      <c r="AW79" s="90" t="s">
        <v>699</v>
      </c>
      <c r="AX79" s="98">
        <v>87500</v>
      </c>
      <c r="AY79" s="91">
        <v>44638</v>
      </c>
      <c r="AZ79" s="12">
        <v>1</v>
      </c>
      <c r="CG79" s="90">
        <v>41</v>
      </c>
      <c r="CH79" s="90" t="s">
        <v>496</v>
      </c>
      <c r="CI79" s="90">
        <v>15162.56</v>
      </c>
      <c r="CJ79" s="123">
        <v>41319</v>
      </c>
      <c r="CK79" s="123">
        <v>3</v>
      </c>
      <c r="CL79" s="123"/>
      <c r="CM79" s="123"/>
      <c r="CN79" s="123"/>
      <c r="CO79" s="123"/>
      <c r="CP79" s="123" t="s">
        <v>448</v>
      </c>
    </row>
    <row r="80" spans="1:105">
      <c r="A80" s="100">
        <v>158</v>
      </c>
      <c r="B80" s="90" t="s">
        <v>913</v>
      </c>
      <c r="C80" s="101">
        <v>16704</v>
      </c>
      <c r="D80" s="102">
        <v>45614</v>
      </c>
      <c r="AV80" s="97">
        <v>55</v>
      </c>
      <c r="AW80" s="90" t="s">
        <v>703</v>
      </c>
      <c r="AX80" s="98">
        <v>67500</v>
      </c>
      <c r="AY80" s="91">
        <v>44638</v>
      </c>
      <c r="AZ80" s="12">
        <v>1</v>
      </c>
      <c r="CG80" s="90">
        <v>38</v>
      </c>
      <c r="CH80" s="90" t="s">
        <v>493</v>
      </c>
      <c r="CI80" s="90">
        <v>55000</v>
      </c>
      <c r="CJ80" s="123">
        <v>41206</v>
      </c>
      <c r="CK80" s="123">
        <v>3</v>
      </c>
      <c r="CL80" s="123"/>
      <c r="CM80" s="123"/>
      <c r="CN80" s="123"/>
      <c r="CO80" s="123"/>
      <c r="CP80" s="123" t="s">
        <v>448</v>
      </c>
    </row>
    <row r="81" spans="1:94">
      <c r="A81" s="100">
        <v>159</v>
      </c>
      <c r="B81" s="90" t="s">
        <v>914</v>
      </c>
      <c r="C81" s="101">
        <v>16704</v>
      </c>
      <c r="D81" s="102">
        <v>45614</v>
      </c>
      <c r="E81" s="109"/>
      <c r="F81" s="109"/>
      <c r="G81" s="109"/>
      <c r="H81" s="109"/>
      <c r="I81" s="109"/>
      <c r="AV81" s="97">
        <v>49</v>
      </c>
      <c r="AW81" s="90" t="s">
        <v>700</v>
      </c>
      <c r="AX81" s="98">
        <v>103750</v>
      </c>
      <c r="AY81" s="91">
        <v>44638</v>
      </c>
      <c r="AZ81" s="12">
        <v>1</v>
      </c>
      <c r="CG81" s="90">
        <v>42</v>
      </c>
      <c r="CH81" s="90" t="s">
        <v>497</v>
      </c>
      <c r="CI81" s="90">
        <v>28500</v>
      </c>
      <c r="CJ81" s="123">
        <v>45671</v>
      </c>
      <c r="CK81" s="123">
        <v>3</v>
      </c>
      <c r="CL81" s="123"/>
      <c r="CM81" s="123"/>
      <c r="CN81" s="123"/>
      <c r="CO81" s="123"/>
      <c r="CP81" s="123" t="s">
        <v>448</v>
      </c>
    </row>
    <row r="82" spans="1:94">
      <c r="A82" s="100">
        <v>160</v>
      </c>
      <c r="B82" s="90" t="s">
        <v>915</v>
      </c>
      <c r="C82" s="101">
        <v>16704</v>
      </c>
      <c r="D82" s="126">
        <v>45614</v>
      </c>
      <c r="E82" s="122"/>
      <c r="F82" s="122"/>
      <c r="G82" s="122"/>
      <c r="H82" s="122"/>
      <c r="I82" s="122"/>
      <c r="AV82" s="97">
        <v>19</v>
      </c>
      <c r="AW82" s="90" t="s">
        <v>678</v>
      </c>
      <c r="AX82" s="98">
        <v>30000</v>
      </c>
      <c r="AY82" s="91">
        <v>40793</v>
      </c>
      <c r="CG82" s="90">
        <v>35</v>
      </c>
      <c r="CH82" s="90" t="s">
        <v>491</v>
      </c>
      <c r="CI82" s="90">
        <v>80700</v>
      </c>
      <c r="CJ82" s="123">
        <v>45330</v>
      </c>
      <c r="CK82" s="123">
        <v>1</v>
      </c>
      <c r="CL82" s="123"/>
      <c r="CM82" s="123"/>
      <c r="CN82" s="123"/>
      <c r="CO82" s="123"/>
      <c r="CP82" s="123" t="s">
        <v>448</v>
      </c>
    </row>
    <row r="83" spans="1:94">
      <c r="A83" s="100">
        <v>161</v>
      </c>
      <c r="B83" s="90" t="s">
        <v>916</v>
      </c>
      <c r="C83" s="101">
        <v>16704</v>
      </c>
      <c r="D83" s="126">
        <v>45614</v>
      </c>
      <c r="E83" s="122"/>
      <c r="F83" s="122"/>
      <c r="G83" s="122"/>
      <c r="H83" s="122"/>
      <c r="I83" s="122"/>
      <c r="AV83" s="97">
        <v>3</v>
      </c>
      <c r="AW83" s="90" t="s">
        <v>671</v>
      </c>
      <c r="AX83" s="98">
        <v>198400</v>
      </c>
      <c r="AY83" s="91">
        <v>45336</v>
      </c>
      <c r="AZ83" s="12">
        <v>1</v>
      </c>
      <c r="CG83" s="90">
        <v>36</v>
      </c>
      <c r="CH83" s="90" t="s">
        <v>492</v>
      </c>
      <c r="CI83" s="90">
        <v>89650</v>
      </c>
      <c r="CJ83" s="129">
        <v>45330</v>
      </c>
      <c r="CK83" s="129">
        <v>1</v>
      </c>
      <c r="CL83" s="129"/>
      <c r="CM83" s="129"/>
      <c r="CN83" s="129"/>
      <c r="CO83" s="129"/>
      <c r="CP83" s="129" t="s">
        <v>448</v>
      </c>
    </row>
    <row r="84" spans="1:94">
      <c r="A84" s="100">
        <v>162</v>
      </c>
      <c r="B84" s="90" t="s">
        <v>253</v>
      </c>
      <c r="C84" s="101">
        <v>16704</v>
      </c>
      <c r="D84" s="126">
        <v>45614</v>
      </c>
      <c r="E84" s="122"/>
      <c r="F84" s="122"/>
      <c r="G84" s="122"/>
      <c r="H84" s="122"/>
      <c r="I84" s="122"/>
      <c r="AV84" s="97">
        <v>4</v>
      </c>
      <c r="AW84" s="90" t="s">
        <v>672</v>
      </c>
      <c r="AX84" s="98">
        <v>192500</v>
      </c>
      <c r="AY84" s="91">
        <v>45336</v>
      </c>
      <c r="AZ84" s="12">
        <v>1</v>
      </c>
      <c r="CG84" s="90">
        <v>33</v>
      </c>
      <c r="CH84" s="90" t="s">
        <v>487</v>
      </c>
      <c r="CI84" s="90">
        <v>19450</v>
      </c>
      <c r="CJ84" s="129">
        <v>45330</v>
      </c>
      <c r="CK84" s="129"/>
      <c r="CL84" s="129" t="s">
        <v>488</v>
      </c>
      <c r="CM84" s="129"/>
      <c r="CN84" s="129"/>
      <c r="CO84" s="129"/>
      <c r="CP84" s="129" t="s">
        <v>448</v>
      </c>
    </row>
    <row r="85" spans="1:94">
      <c r="A85" s="100">
        <v>163</v>
      </c>
      <c r="B85" s="90" t="s">
        <v>917</v>
      </c>
      <c r="C85" s="101">
        <v>16704</v>
      </c>
      <c r="D85" s="126">
        <v>45614</v>
      </c>
      <c r="E85" s="122"/>
      <c r="F85" s="122"/>
      <c r="G85" s="122"/>
      <c r="H85" s="122"/>
      <c r="I85" s="122"/>
      <c r="AV85" s="97">
        <v>52</v>
      </c>
      <c r="AW85" s="90" t="s">
        <v>701</v>
      </c>
      <c r="AX85" s="98">
        <v>96000</v>
      </c>
      <c r="AY85" s="91">
        <v>44572</v>
      </c>
      <c r="AZ85" s="12">
        <v>1</v>
      </c>
      <c r="CG85" s="90">
        <v>34</v>
      </c>
      <c r="CH85" s="90" t="s">
        <v>489</v>
      </c>
      <c r="CI85" s="90">
        <v>22700</v>
      </c>
      <c r="CJ85" s="129">
        <v>45330</v>
      </c>
      <c r="CK85" s="129"/>
      <c r="CL85" s="129" t="s">
        <v>490</v>
      </c>
      <c r="CM85" s="129"/>
      <c r="CN85" s="129"/>
      <c r="CO85" s="129"/>
      <c r="CP85" s="129" t="s">
        <v>448</v>
      </c>
    </row>
    <row r="86" spans="1:94">
      <c r="A86" s="100">
        <v>164</v>
      </c>
      <c r="B86" s="90" t="s">
        <v>918</v>
      </c>
      <c r="C86" s="101">
        <v>19968</v>
      </c>
      <c r="D86" s="126">
        <v>45614</v>
      </c>
      <c r="E86" s="122"/>
      <c r="F86" s="122"/>
      <c r="G86" s="122"/>
      <c r="H86" s="122"/>
      <c r="I86" s="122"/>
      <c r="AV86" s="97">
        <v>161</v>
      </c>
      <c r="AW86" s="90" t="s">
        <v>751</v>
      </c>
      <c r="AX86" s="98">
        <v>122900</v>
      </c>
      <c r="AY86" s="91">
        <v>44572</v>
      </c>
      <c r="AZ86" s="12">
        <v>2</v>
      </c>
      <c r="CG86" s="90">
        <v>85</v>
      </c>
      <c r="CH86" s="90" t="s">
        <v>534</v>
      </c>
      <c r="CI86" s="90">
        <v>351.6</v>
      </c>
      <c r="CJ86" s="129">
        <v>43130</v>
      </c>
      <c r="CK86" s="129"/>
      <c r="CL86" s="129"/>
      <c r="CM86" s="129"/>
      <c r="CN86" s="129"/>
      <c r="CO86" s="129"/>
      <c r="CP86" s="129" t="s">
        <v>448</v>
      </c>
    </row>
    <row r="87" spans="1:94">
      <c r="A87" s="100">
        <v>165</v>
      </c>
      <c r="B87" s="90" t="s">
        <v>919</v>
      </c>
      <c r="C87" s="101">
        <v>24336</v>
      </c>
      <c r="D87" s="126">
        <v>45614</v>
      </c>
      <c r="E87" s="122"/>
      <c r="F87" s="122"/>
      <c r="G87" s="122"/>
      <c r="H87" s="122"/>
      <c r="I87" s="122"/>
      <c r="AV87" s="97">
        <v>5</v>
      </c>
      <c r="AW87" s="90" t="s">
        <v>274</v>
      </c>
      <c r="AX87" s="98">
        <v>191100</v>
      </c>
      <c r="AY87" s="91">
        <v>45336</v>
      </c>
      <c r="AZ87" s="12">
        <v>1</v>
      </c>
      <c r="CG87" s="90">
        <v>93</v>
      </c>
      <c r="CH87" s="90" t="s">
        <v>542</v>
      </c>
      <c r="CI87" s="90">
        <v>6150</v>
      </c>
      <c r="CJ87" s="129">
        <v>43892</v>
      </c>
      <c r="CK87" s="129"/>
      <c r="CL87" s="129"/>
      <c r="CM87" s="129"/>
      <c r="CN87" s="129"/>
      <c r="CO87" s="129"/>
      <c r="CP87" s="129" t="s">
        <v>448</v>
      </c>
    </row>
    <row r="88" spans="1:94">
      <c r="A88" s="100">
        <v>166</v>
      </c>
      <c r="B88" s="90" t="s">
        <v>920</v>
      </c>
      <c r="C88" s="101">
        <v>17256</v>
      </c>
      <c r="D88" s="126">
        <v>45614</v>
      </c>
      <c r="E88" s="122"/>
      <c r="F88" s="122"/>
      <c r="G88" s="122"/>
      <c r="H88" s="122"/>
      <c r="I88" s="122"/>
      <c r="AV88" s="97">
        <v>31</v>
      </c>
      <c r="AW88" s="90" t="s">
        <v>689</v>
      </c>
      <c r="AX88" s="98">
        <v>56800</v>
      </c>
      <c r="AY88" s="91">
        <v>44572</v>
      </c>
      <c r="CG88" s="90">
        <v>24</v>
      </c>
      <c r="CH88" s="90" t="s">
        <v>477</v>
      </c>
      <c r="CI88" s="90">
        <v>14490</v>
      </c>
      <c r="CJ88" s="129">
        <v>41143</v>
      </c>
      <c r="CK88" s="129"/>
      <c r="CL88" s="129"/>
      <c r="CM88" s="129"/>
      <c r="CN88" s="129"/>
      <c r="CO88" s="129"/>
      <c r="CP88" s="129" t="s">
        <v>448</v>
      </c>
    </row>
    <row r="89" spans="1:94">
      <c r="A89" s="100">
        <v>167</v>
      </c>
      <c r="B89" s="90" t="s">
        <v>921</v>
      </c>
      <c r="C89" s="101">
        <v>17568</v>
      </c>
      <c r="D89" s="126">
        <v>45614</v>
      </c>
      <c r="E89" s="122"/>
      <c r="F89" s="122"/>
      <c r="G89" s="122"/>
      <c r="H89" s="122"/>
      <c r="I89" s="122"/>
      <c r="AV89" s="97">
        <v>53</v>
      </c>
      <c r="AW89" s="90" t="s">
        <v>702</v>
      </c>
      <c r="AX89" s="98">
        <v>93000</v>
      </c>
      <c r="AY89" s="91">
        <v>44572</v>
      </c>
      <c r="AZ89" s="12">
        <v>1</v>
      </c>
      <c r="CG89" s="90">
        <v>76</v>
      </c>
      <c r="CH89" s="90" t="s">
        <v>526</v>
      </c>
      <c r="CI89" s="90">
        <v>57600</v>
      </c>
      <c r="CJ89" s="129">
        <v>42615</v>
      </c>
      <c r="CK89" s="129"/>
      <c r="CL89" s="129"/>
      <c r="CM89" s="129"/>
      <c r="CN89" s="129"/>
      <c r="CO89" s="129"/>
      <c r="CP89" s="129" t="s">
        <v>448</v>
      </c>
    </row>
    <row r="90" spans="1:94">
      <c r="A90" s="100">
        <v>168</v>
      </c>
      <c r="B90" s="90" t="s">
        <v>922</v>
      </c>
      <c r="C90" s="101">
        <v>17568</v>
      </c>
      <c r="D90" s="126">
        <v>45614</v>
      </c>
      <c r="E90" s="122"/>
      <c r="F90" s="122"/>
      <c r="G90" s="122"/>
      <c r="H90" s="122"/>
      <c r="I90" s="122"/>
      <c r="AV90" s="97">
        <v>138</v>
      </c>
      <c r="AW90" s="90" t="s">
        <v>737</v>
      </c>
      <c r="AX90" s="98">
        <v>77600</v>
      </c>
      <c r="AY90" s="91">
        <v>44572</v>
      </c>
      <c r="AZ90" s="12">
        <v>1</v>
      </c>
      <c r="CG90" s="90">
        <v>59</v>
      </c>
      <c r="CH90" s="90" t="s">
        <v>509</v>
      </c>
      <c r="CI90" s="90">
        <v>13051</v>
      </c>
      <c r="CJ90" s="129">
        <v>42067</v>
      </c>
      <c r="CK90" s="129"/>
      <c r="CL90" s="129"/>
      <c r="CM90" s="129"/>
      <c r="CN90" s="129"/>
      <c r="CO90" s="129"/>
      <c r="CP90" s="129" t="s">
        <v>448</v>
      </c>
    </row>
    <row r="91" spans="1:94">
      <c r="A91" s="100">
        <v>169</v>
      </c>
      <c r="B91" s="90" t="s">
        <v>923</v>
      </c>
      <c r="C91" s="101">
        <v>17568</v>
      </c>
      <c r="D91" s="126">
        <v>45614</v>
      </c>
      <c r="E91" s="122"/>
      <c r="F91" s="122"/>
      <c r="G91" s="122"/>
      <c r="H91" s="122"/>
      <c r="I91" s="122"/>
      <c r="AV91" s="97">
        <v>184</v>
      </c>
      <c r="AW91" s="90" t="s">
        <v>769</v>
      </c>
      <c r="AX91" s="98">
        <v>133350</v>
      </c>
      <c r="AY91" s="91">
        <v>45959</v>
      </c>
      <c r="CG91" s="90">
        <v>21</v>
      </c>
      <c r="CH91" s="90" t="s">
        <v>473</v>
      </c>
      <c r="CI91" s="90">
        <v>18220</v>
      </c>
      <c r="CJ91" s="129">
        <v>41120</v>
      </c>
      <c r="CK91" s="129"/>
      <c r="CL91" s="129" t="s">
        <v>474</v>
      </c>
      <c r="CM91" s="129"/>
      <c r="CN91" s="129"/>
      <c r="CO91" s="129"/>
      <c r="CP91" s="129" t="s">
        <v>448</v>
      </c>
    </row>
    <row r="92" spans="1:94">
      <c r="A92" s="100">
        <v>170</v>
      </c>
      <c r="B92" s="90" t="s">
        <v>924</v>
      </c>
      <c r="C92" s="101">
        <v>17568</v>
      </c>
      <c r="D92" s="126">
        <v>45614</v>
      </c>
      <c r="E92" s="122"/>
      <c r="F92" s="122"/>
      <c r="G92" s="122"/>
      <c r="H92" s="122"/>
      <c r="I92" s="122"/>
      <c r="AV92" s="97">
        <v>105</v>
      </c>
      <c r="AW92" s="90" t="s">
        <v>716</v>
      </c>
      <c r="AX92" s="98">
        <v>94800</v>
      </c>
      <c r="AY92" s="91">
        <v>44572</v>
      </c>
      <c r="AZ92" s="12">
        <v>1</v>
      </c>
      <c r="CG92" s="90">
        <v>54</v>
      </c>
      <c r="CH92" s="90" t="s">
        <v>506</v>
      </c>
      <c r="CI92" s="90">
        <v>4000</v>
      </c>
      <c r="CJ92" s="129">
        <v>44740</v>
      </c>
      <c r="CK92" s="129"/>
      <c r="CL92" s="129"/>
      <c r="CM92" s="129"/>
      <c r="CN92" s="129"/>
      <c r="CO92" s="129"/>
      <c r="CP92" s="129" t="s">
        <v>448</v>
      </c>
    </row>
    <row r="93" spans="1:94">
      <c r="A93" s="100">
        <v>171</v>
      </c>
      <c r="B93" s="90" t="s">
        <v>925</v>
      </c>
      <c r="C93" s="101">
        <v>17568</v>
      </c>
      <c r="D93" s="126">
        <v>45614</v>
      </c>
      <c r="E93" s="122"/>
      <c r="F93" s="122"/>
      <c r="G93" s="122"/>
      <c r="H93" s="122"/>
      <c r="I93" s="122"/>
      <c r="AV93" s="97">
        <v>32</v>
      </c>
      <c r="AW93" s="90" t="s">
        <v>690</v>
      </c>
      <c r="AX93" s="98">
        <v>86000</v>
      </c>
      <c r="AY93" s="91">
        <v>44572</v>
      </c>
      <c r="AZ93" s="12">
        <v>1</v>
      </c>
      <c r="CG93" s="90">
        <v>61</v>
      </c>
      <c r="CH93" s="90" t="s">
        <v>511</v>
      </c>
      <c r="CI93" s="90">
        <v>7050</v>
      </c>
      <c r="CJ93" s="129">
        <v>42075</v>
      </c>
      <c r="CK93" s="129"/>
      <c r="CL93" s="129"/>
      <c r="CM93" s="129"/>
      <c r="CN93" s="129"/>
      <c r="CO93" s="129"/>
      <c r="CP93" s="129" t="s">
        <v>448</v>
      </c>
    </row>
    <row r="94" spans="1:94">
      <c r="A94" s="100">
        <v>172</v>
      </c>
      <c r="B94" s="90" t="s">
        <v>926</v>
      </c>
      <c r="C94" s="101">
        <v>17568</v>
      </c>
      <c r="D94" s="126">
        <v>45614</v>
      </c>
      <c r="E94" s="122"/>
      <c r="F94" s="122"/>
      <c r="G94" s="122"/>
      <c r="H94" s="122"/>
      <c r="I94" s="122"/>
      <c r="AV94" s="97">
        <v>2</v>
      </c>
      <c r="AW94" s="90" t="s">
        <v>670</v>
      </c>
      <c r="AX94" s="98">
        <v>95300</v>
      </c>
      <c r="AY94" s="91">
        <v>44572</v>
      </c>
      <c r="AZ94" s="12">
        <v>1</v>
      </c>
      <c r="CG94" s="90">
        <v>62</v>
      </c>
      <c r="CH94" s="90" t="s">
        <v>512</v>
      </c>
      <c r="CI94" s="90">
        <v>7050</v>
      </c>
      <c r="CJ94" s="129">
        <v>42075</v>
      </c>
      <c r="CK94" s="129"/>
      <c r="CL94" s="129"/>
      <c r="CM94" s="129"/>
      <c r="CN94" s="129"/>
      <c r="CO94" s="129"/>
      <c r="CP94" s="129" t="s">
        <v>448</v>
      </c>
    </row>
    <row r="95" spans="1:94">
      <c r="A95" s="100">
        <v>173</v>
      </c>
      <c r="B95" s="90" t="s">
        <v>927</v>
      </c>
      <c r="C95" s="101">
        <v>17568</v>
      </c>
      <c r="D95" s="126">
        <v>45614</v>
      </c>
      <c r="E95" s="122"/>
      <c r="F95" s="122"/>
      <c r="G95" s="122"/>
      <c r="H95" s="122"/>
      <c r="I95" s="122"/>
      <c r="AV95" s="97">
        <v>118</v>
      </c>
      <c r="AW95" s="90" t="s">
        <v>726</v>
      </c>
      <c r="AX95" s="98">
        <v>95448</v>
      </c>
      <c r="AY95" s="91">
        <v>42067</v>
      </c>
      <c r="CG95" s="90">
        <v>56</v>
      </c>
      <c r="CH95" s="90" t="s">
        <v>508</v>
      </c>
      <c r="CI95" s="90">
        <v>20780</v>
      </c>
      <c r="CJ95" s="129">
        <v>45303</v>
      </c>
      <c r="CK95" s="129"/>
      <c r="CL95" s="129"/>
      <c r="CM95" s="129"/>
      <c r="CN95" s="129"/>
      <c r="CO95" s="129"/>
      <c r="CP95" s="129" t="s">
        <v>448</v>
      </c>
    </row>
    <row r="96" spans="1:94">
      <c r="A96" s="100">
        <v>174</v>
      </c>
      <c r="B96" s="90" t="s">
        <v>928</v>
      </c>
      <c r="C96" s="101">
        <v>17568</v>
      </c>
      <c r="D96" s="126">
        <v>45614</v>
      </c>
      <c r="E96" s="122"/>
      <c r="F96" s="122"/>
      <c r="G96" s="122"/>
      <c r="H96" s="122"/>
      <c r="I96" s="122"/>
      <c r="AV96" s="97">
        <v>120</v>
      </c>
      <c r="AW96" s="90" t="s">
        <v>728</v>
      </c>
      <c r="AX96" s="98">
        <v>95448</v>
      </c>
      <c r="AY96" s="91">
        <v>42067</v>
      </c>
      <c r="CG96" s="90">
        <v>92</v>
      </c>
      <c r="CH96" s="90" t="s">
        <v>541</v>
      </c>
      <c r="CI96" s="90">
        <v>38000</v>
      </c>
      <c r="CJ96" s="129">
        <v>43658</v>
      </c>
      <c r="CK96" s="129"/>
      <c r="CL96" s="129"/>
      <c r="CM96" s="129"/>
      <c r="CN96" s="129"/>
      <c r="CO96" s="129"/>
      <c r="CP96" s="129" t="s">
        <v>448</v>
      </c>
    </row>
    <row r="97" spans="1:94">
      <c r="A97" s="100">
        <v>175</v>
      </c>
      <c r="B97" s="90" t="s">
        <v>929</v>
      </c>
      <c r="C97" s="101">
        <v>17568</v>
      </c>
      <c r="D97" s="126">
        <v>45614</v>
      </c>
      <c r="E97" s="122"/>
      <c r="F97" s="122"/>
      <c r="G97" s="122"/>
      <c r="H97" s="122"/>
      <c r="I97" s="122"/>
      <c r="AV97" s="97">
        <v>119</v>
      </c>
      <c r="AW97" s="90" t="s">
        <v>727</v>
      </c>
      <c r="AX97" s="98">
        <v>95448</v>
      </c>
      <c r="AY97" s="91">
        <v>42067</v>
      </c>
      <c r="CG97" s="90">
        <v>53</v>
      </c>
      <c r="CH97" s="90" t="s">
        <v>505</v>
      </c>
      <c r="CI97" s="90">
        <v>46667</v>
      </c>
      <c r="CJ97" s="129">
        <v>45309</v>
      </c>
      <c r="CK97" s="129">
        <v>3</v>
      </c>
      <c r="CL97" s="129"/>
      <c r="CM97" s="129"/>
      <c r="CN97" s="129"/>
      <c r="CO97" s="129"/>
      <c r="CP97" s="129" t="s">
        <v>448</v>
      </c>
    </row>
    <row r="98" spans="1:94">
      <c r="A98" s="100">
        <v>176</v>
      </c>
      <c r="B98" s="90" t="s">
        <v>930</v>
      </c>
      <c r="C98" s="101">
        <v>20364</v>
      </c>
      <c r="D98" s="126">
        <v>45614</v>
      </c>
      <c r="E98" s="122"/>
      <c r="F98" s="122"/>
      <c r="G98" s="122"/>
      <c r="H98" s="122"/>
      <c r="I98" s="122"/>
      <c r="AV98" s="97">
        <v>20</v>
      </c>
      <c r="AW98" s="90" t="s">
        <v>679</v>
      </c>
      <c r="AX98" s="98">
        <v>64275</v>
      </c>
      <c r="AY98" s="91">
        <v>39873</v>
      </c>
      <c r="CG98" s="90">
        <v>84</v>
      </c>
      <c r="CH98" s="90" t="s">
        <v>533</v>
      </c>
      <c r="CI98" s="90">
        <v>11260</v>
      </c>
      <c r="CJ98" s="148">
        <v>45303</v>
      </c>
      <c r="CK98" s="148"/>
      <c r="CL98" s="148"/>
      <c r="CM98" s="148"/>
      <c r="CN98" s="148"/>
      <c r="CO98" s="148"/>
      <c r="CP98" s="148" t="s">
        <v>448</v>
      </c>
    </row>
    <row r="99" spans="1:94">
      <c r="A99" s="100">
        <v>177</v>
      </c>
      <c r="B99" s="90" t="s">
        <v>931</v>
      </c>
      <c r="C99" s="101">
        <v>25128</v>
      </c>
      <c r="D99" s="126">
        <v>45614</v>
      </c>
      <c r="E99" s="122"/>
      <c r="F99" s="122"/>
      <c r="G99" s="122"/>
      <c r="H99" s="122"/>
      <c r="I99" s="122"/>
      <c r="AV99" s="97">
        <v>47</v>
      </c>
      <c r="AW99" s="90" t="s">
        <v>698</v>
      </c>
      <c r="AX99" s="98">
        <v>64275</v>
      </c>
      <c r="AY99" s="91">
        <v>39873</v>
      </c>
      <c r="CG99" s="90">
        <v>14</v>
      </c>
      <c r="CH99" s="90" t="s">
        <v>467</v>
      </c>
      <c r="CI99" s="90">
        <v>8900</v>
      </c>
      <c r="CJ99" s="148">
        <v>41086</v>
      </c>
      <c r="CK99" s="148"/>
      <c r="CL99" s="148"/>
      <c r="CM99" s="148"/>
      <c r="CN99" s="148"/>
      <c r="CO99" s="148"/>
      <c r="CP99" s="148" t="s">
        <v>448</v>
      </c>
    </row>
    <row r="100" spans="1:94">
      <c r="A100" s="100">
        <v>178</v>
      </c>
      <c r="B100" s="90" t="s">
        <v>932</v>
      </c>
      <c r="C100" s="101">
        <v>65695</v>
      </c>
      <c r="D100" s="126">
        <v>45614</v>
      </c>
      <c r="E100" s="122"/>
      <c r="F100" s="122"/>
      <c r="G100" s="122"/>
      <c r="H100" s="122"/>
      <c r="I100" s="122"/>
      <c r="AV100" s="97">
        <v>22</v>
      </c>
      <c r="AW100" s="90" t="s">
        <v>681</v>
      </c>
      <c r="AX100" s="98">
        <v>93125</v>
      </c>
      <c r="AY100" s="91">
        <v>42080</v>
      </c>
      <c r="CG100" s="90">
        <v>71</v>
      </c>
      <c r="CH100" s="90" t="s">
        <v>521</v>
      </c>
      <c r="CI100" s="90">
        <v>16400</v>
      </c>
      <c r="CJ100" s="148">
        <v>43523</v>
      </c>
      <c r="CK100" s="148"/>
      <c r="CL100" s="148"/>
      <c r="CM100" s="148"/>
      <c r="CN100" s="148"/>
      <c r="CO100" s="148"/>
      <c r="CP100" s="148" t="s">
        <v>448</v>
      </c>
    </row>
    <row r="101" spans="1:94">
      <c r="A101" s="100">
        <v>179</v>
      </c>
      <c r="B101" s="90" t="s">
        <v>933</v>
      </c>
      <c r="C101" s="101">
        <v>41280</v>
      </c>
      <c r="D101" s="126">
        <v>45614</v>
      </c>
      <c r="E101" s="122"/>
      <c r="F101" s="122"/>
      <c r="G101" s="122"/>
      <c r="H101" s="122"/>
      <c r="I101" s="122"/>
      <c r="AV101" s="97">
        <v>23</v>
      </c>
      <c r="AW101" s="90" t="s">
        <v>682</v>
      </c>
      <c r="AX101" s="98">
        <v>62981</v>
      </c>
      <c r="AY101" s="91">
        <v>39873</v>
      </c>
      <c r="CG101" s="90">
        <v>78</v>
      </c>
      <c r="CH101" s="90" t="s">
        <v>528</v>
      </c>
      <c r="CI101" s="90">
        <v>21000</v>
      </c>
      <c r="CJ101" s="148">
        <v>43523</v>
      </c>
      <c r="CK101" s="148"/>
      <c r="CL101" s="148"/>
      <c r="CM101" s="148"/>
      <c r="CN101" s="148"/>
      <c r="CO101" s="148"/>
      <c r="CP101" s="148" t="s">
        <v>448</v>
      </c>
    </row>
    <row r="102" spans="1:94">
      <c r="A102" s="100">
        <v>180</v>
      </c>
      <c r="B102" s="90" t="s">
        <v>934</v>
      </c>
      <c r="C102" s="101">
        <v>9100</v>
      </c>
      <c r="D102" s="126">
        <v>43264</v>
      </c>
      <c r="E102" s="122"/>
      <c r="F102" s="122"/>
      <c r="G102" s="122"/>
      <c r="H102" s="122"/>
      <c r="I102" s="122"/>
      <c r="AV102" s="97">
        <v>21</v>
      </c>
      <c r="AW102" s="90" t="s">
        <v>680</v>
      </c>
      <c r="AX102" s="98">
        <v>64275</v>
      </c>
      <c r="AY102" s="108">
        <v>39873</v>
      </c>
      <c r="AZ102" s="109"/>
      <c r="CG102" s="90">
        <v>89</v>
      </c>
      <c r="CH102" s="90" t="s">
        <v>538</v>
      </c>
      <c r="CI102" s="90">
        <v>37800</v>
      </c>
      <c r="CJ102" s="148">
        <v>43654</v>
      </c>
      <c r="CK102" s="148"/>
      <c r="CL102" s="148"/>
      <c r="CM102" s="148"/>
      <c r="CN102" s="148"/>
      <c r="CO102" s="148"/>
      <c r="CP102" s="148" t="s">
        <v>448</v>
      </c>
    </row>
    <row r="103" spans="1:94">
      <c r="A103" s="100">
        <v>181</v>
      </c>
      <c r="B103" s="90" t="s">
        <v>935</v>
      </c>
      <c r="C103" s="101">
        <v>10100</v>
      </c>
      <c r="D103" s="126">
        <v>43264</v>
      </c>
      <c r="E103" s="122"/>
      <c r="F103" s="122"/>
      <c r="G103" s="122"/>
      <c r="H103" s="122"/>
      <c r="I103" s="122"/>
      <c r="AV103" s="97">
        <v>160</v>
      </c>
      <c r="AW103" s="90" t="s">
        <v>750</v>
      </c>
      <c r="AX103" s="98">
        <v>109250</v>
      </c>
      <c r="AY103" s="108">
        <v>43658</v>
      </c>
      <c r="AZ103" s="109">
        <v>2</v>
      </c>
      <c r="CG103" s="90">
        <v>90</v>
      </c>
      <c r="CH103" s="90" t="s">
        <v>539</v>
      </c>
      <c r="CI103" s="90">
        <v>28900</v>
      </c>
      <c r="CJ103" s="148">
        <v>43654</v>
      </c>
      <c r="CK103" s="148"/>
      <c r="CL103" s="148"/>
      <c r="CM103" s="148"/>
      <c r="CN103" s="148"/>
      <c r="CO103" s="148"/>
      <c r="CP103" s="148" t="s">
        <v>448</v>
      </c>
    </row>
    <row r="104" spans="1:94">
      <c r="A104" s="100">
        <v>182</v>
      </c>
      <c r="B104" s="90" t="s">
        <v>936</v>
      </c>
      <c r="C104" s="101">
        <v>9100</v>
      </c>
      <c r="D104" s="126">
        <v>43264</v>
      </c>
      <c r="E104" s="122"/>
      <c r="F104" s="122"/>
      <c r="G104" s="122"/>
      <c r="H104" s="122"/>
      <c r="I104" s="122"/>
      <c r="AV104" s="97">
        <v>84</v>
      </c>
      <c r="AW104" s="90" t="s">
        <v>712</v>
      </c>
      <c r="AX104" s="98">
        <v>53000</v>
      </c>
      <c r="AY104" s="108">
        <v>41492</v>
      </c>
      <c r="AZ104" s="109">
        <v>3</v>
      </c>
      <c r="CG104" s="90">
        <v>72</v>
      </c>
      <c r="CH104" s="90" t="s">
        <v>522</v>
      </c>
      <c r="CI104" s="90">
        <v>16400</v>
      </c>
      <c r="CJ104" s="148">
        <v>43523</v>
      </c>
      <c r="CK104" s="148"/>
      <c r="CL104" s="148"/>
      <c r="CM104" s="148"/>
      <c r="CN104" s="148"/>
      <c r="CO104" s="148"/>
      <c r="CP104" s="148" t="s">
        <v>448</v>
      </c>
    </row>
    <row r="105" spans="1:94">
      <c r="A105" s="100">
        <v>183</v>
      </c>
      <c r="B105" s="90" t="s">
        <v>937</v>
      </c>
      <c r="C105" s="101">
        <v>10100</v>
      </c>
      <c r="D105" s="126">
        <v>43264</v>
      </c>
      <c r="E105" s="122"/>
      <c r="F105" s="122"/>
      <c r="G105" s="122"/>
      <c r="H105" s="122"/>
      <c r="I105" s="122"/>
      <c r="AV105" s="97">
        <v>85</v>
      </c>
      <c r="AW105" s="90" t="s">
        <v>713</v>
      </c>
      <c r="AX105" s="98">
        <v>55000</v>
      </c>
      <c r="AY105" s="108">
        <v>41492</v>
      </c>
      <c r="AZ105" s="109">
        <v>3</v>
      </c>
      <c r="CG105" s="90">
        <v>79</v>
      </c>
      <c r="CH105" s="90" t="s">
        <v>529</v>
      </c>
      <c r="CI105" s="90">
        <v>8600</v>
      </c>
      <c r="CJ105" s="148">
        <v>43523</v>
      </c>
      <c r="CK105" s="148"/>
      <c r="CL105" s="148"/>
      <c r="CM105" s="148"/>
      <c r="CN105" s="148"/>
      <c r="CO105" s="148"/>
      <c r="CP105" s="148" t="s">
        <v>448</v>
      </c>
    </row>
    <row r="106" spans="1:94">
      <c r="A106" s="100">
        <v>184</v>
      </c>
      <c r="B106" s="90" t="s">
        <v>938</v>
      </c>
      <c r="C106" s="101">
        <v>9100</v>
      </c>
      <c r="D106" s="126">
        <v>43264</v>
      </c>
      <c r="E106" s="122"/>
      <c r="F106" s="122"/>
      <c r="G106" s="122"/>
      <c r="H106" s="122"/>
      <c r="I106" s="122"/>
      <c r="AV106" s="97">
        <v>110</v>
      </c>
      <c r="AW106" s="90" t="s">
        <v>718</v>
      </c>
      <c r="AX106" s="98">
        <v>48300</v>
      </c>
      <c r="AY106" s="108">
        <v>42473</v>
      </c>
      <c r="AZ106" s="109">
        <v>3</v>
      </c>
      <c r="CG106" s="90">
        <v>91</v>
      </c>
      <c r="CH106" s="90" t="s">
        <v>540</v>
      </c>
      <c r="CI106" s="90">
        <v>8900</v>
      </c>
      <c r="CJ106" s="148">
        <v>43654</v>
      </c>
      <c r="CK106" s="148"/>
      <c r="CL106" s="148"/>
      <c r="CM106" s="148"/>
      <c r="CN106" s="148"/>
      <c r="CO106" s="148"/>
      <c r="CP106" s="148" t="s">
        <v>448</v>
      </c>
    </row>
    <row r="107" spans="1:94">
      <c r="A107" s="100">
        <v>185</v>
      </c>
      <c r="B107" s="90" t="s">
        <v>939</v>
      </c>
      <c r="C107" s="101">
        <v>10100</v>
      </c>
      <c r="D107" s="126">
        <v>43264</v>
      </c>
      <c r="E107" s="122"/>
      <c r="F107" s="122"/>
      <c r="G107" s="122"/>
      <c r="H107" s="122"/>
      <c r="I107" s="122"/>
      <c r="AV107" s="97">
        <v>111</v>
      </c>
      <c r="AW107" s="90" t="s">
        <v>719</v>
      </c>
      <c r="AX107" s="98">
        <v>38000</v>
      </c>
      <c r="AY107" s="108">
        <v>42018</v>
      </c>
      <c r="AZ107" s="109">
        <v>3</v>
      </c>
    </row>
    <row r="108" spans="1:94">
      <c r="A108" s="100">
        <v>186</v>
      </c>
      <c r="B108" s="90" t="s">
        <v>940</v>
      </c>
      <c r="C108" s="101">
        <v>9100</v>
      </c>
      <c r="D108" s="126">
        <v>43264</v>
      </c>
      <c r="E108" s="122"/>
      <c r="F108" s="122"/>
      <c r="G108" s="122"/>
      <c r="H108" s="122"/>
      <c r="I108" s="122"/>
      <c r="AV108" s="97">
        <v>16</v>
      </c>
      <c r="AW108" s="90" t="s">
        <v>677</v>
      </c>
      <c r="AX108" s="98">
        <v>36000</v>
      </c>
      <c r="AY108" s="129">
        <v>42018</v>
      </c>
      <c r="AZ108" s="128">
        <v>3</v>
      </c>
    </row>
    <row r="109" spans="1:94">
      <c r="A109" s="100">
        <v>187</v>
      </c>
      <c r="B109" s="90" t="s">
        <v>941</v>
      </c>
      <c r="C109" s="101">
        <v>10100</v>
      </c>
      <c r="D109" s="126">
        <v>43264</v>
      </c>
      <c r="E109" s="122"/>
      <c r="F109" s="122"/>
      <c r="G109" s="122"/>
      <c r="H109" s="122"/>
      <c r="I109" s="122"/>
    </row>
    <row r="110" spans="1:94">
      <c r="A110" s="100">
        <v>188</v>
      </c>
      <c r="B110" s="90" t="s">
        <v>942</v>
      </c>
      <c r="C110" s="101">
        <v>23480</v>
      </c>
      <c r="D110" s="126">
        <v>45614</v>
      </c>
      <c r="E110" s="122"/>
      <c r="F110" s="122"/>
      <c r="G110" s="122"/>
      <c r="H110" s="122"/>
      <c r="I110" s="122"/>
    </row>
    <row r="111" spans="1:94">
      <c r="A111" s="100">
        <v>189</v>
      </c>
      <c r="B111" s="90" t="s">
        <v>943</v>
      </c>
      <c r="C111" s="101">
        <v>23480</v>
      </c>
      <c r="D111" s="126">
        <v>45614</v>
      </c>
      <c r="E111" s="122"/>
      <c r="F111" s="122"/>
      <c r="G111" s="122"/>
      <c r="H111" s="122"/>
      <c r="I111" s="122"/>
    </row>
    <row r="112" spans="1:94">
      <c r="A112" s="100">
        <v>190</v>
      </c>
      <c r="B112" s="90" t="s">
        <v>944</v>
      </c>
      <c r="C112" s="101">
        <v>23480</v>
      </c>
      <c r="D112" s="126">
        <v>45614</v>
      </c>
      <c r="E112" s="122"/>
      <c r="F112" s="122"/>
      <c r="G112" s="122"/>
      <c r="H112" s="122"/>
      <c r="I112" s="122"/>
    </row>
    <row r="113" spans="1:9">
      <c r="A113" s="100">
        <v>191</v>
      </c>
      <c r="B113" s="90" t="s">
        <v>945</v>
      </c>
      <c r="C113" s="101">
        <v>23480</v>
      </c>
      <c r="D113" s="126">
        <v>45614</v>
      </c>
      <c r="E113" s="122"/>
      <c r="F113" s="122"/>
      <c r="G113" s="122"/>
      <c r="H113" s="122"/>
      <c r="I113" s="122"/>
    </row>
    <row r="114" spans="1:9">
      <c r="A114" s="100">
        <v>192</v>
      </c>
      <c r="B114" s="90" t="s">
        <v>946</v>
      </c>
      <c r="C114" s="101">
        <v>23480</v>
      </c>
      <c r="D114" s="126">
        <v>45614</v>
      </c>
      <c r="E114" s="122"/>
      <c r="F114" s="122"/>
      <c r="G114" s="122"/>
      <c r="H114" s="122"/>
      <c r="I114" s="122"/>
    </row>
    <row r="115" spans="1:9">
      <c r="A115" s="100">
        <v>193</v>
      </c>
      <c r="B115" s="90" t="s">
        <v>947</v>
      </c>
      <c r="C115" s="101">
        <v>59880</v>
      </c>
      <c r="D115" s="126">
        <v>45614</v>
      </c>
      <c r="E115" s="122"/>
      <c r="F115" s="122"/>
      <c r="G115" s="122"/>
      <c r="H115" s="122"/>
      <c r="I115" s="122"/>
    </row>
    <row r="116" spans="1:9">
      <c r="A116" s="100">
        <v>194</v>
      </c>
      <c r="B116" s="90" t="s">
        <v>948</v>
      </c>
      <c r="C116" s="101">
        <v>56590</v>
      </c>
      <c r="D116" s="126">
        <v>45614</v>
      </c>
      <c r="E116" s="122"/>
      <c r="F116" s="122"/>
      <c r="G116" s="122"/>
      <c r="H116" s="122"/>
      <c r="I116" s="122"/>
    </row>
    <row r="117" spans="1:9">
      <c r="A117" s="100">
        <v>195</v>
      </c>
      <c r="B117" s="90" t="s">
        <v>949</v>
      </c>
      <c r="C117" s="101">
        <v>24480</v>
      </c>
      <c r="D117" s="126">
        <v>45614</v>
      </c>
      <c r="E117" s="122"/>
      <c r="F117" s="122"/>
      <c r="G117" s="122"/>
      <c r="H117" s="122"/>
      <c r="I117" s="122"/>
    </row>
    <row r="118" spans="1:9">
      <c r="A118" s="100">
        <v>196</v>
      </c>
      <c r="B118" s="90" t="s">
        <v>950</v>
      </c>
      <c r="C118" s="101">
        <v>24480</v>
      </c>
      <c r="D118" s="126">
        <v>45614</v>
      </c>
      <c r="E118" s="122"/>
      <c r="F118" s="122"/>
      <c r="G118" s="122"/>
      <c r="H118" s="122"/>
      <c r="I118" s="122"/>
    </row>
    <row r="119" spans="1:9">
      <c r="A119" s="100">
        <v>197</v>
      </c>
      <c r="B119" s="90" t="s">
        <v>951</v>
      </c>
      <c r="C119" s="101">
        <v>24480</v>
      </c>
      <c r="D119" s="126">
        <v>45614</v>
      </c>
      <c r="E119" s="122"/>
      <c r="F119" s="122"/>
      <c r="G119" s="122"/>
      <c r="H119" s="122"/>
      <c r="I119" s="122"/>
    </row>
    <row r="120" spans="1:9">
      <c r="A120" s="100">
        <v>198</v>
      </c>
      <c r="B120" s="90" t="s">
        <v>952</v>
      </c>
      <c r="C120" s="101">
        <v>24480</v>
      </c>
      <c r="D120" s="126">
        <v>45614</v>
      </c>
      <c r="E120" s="122"/>
      <c r="F120" s="122"/>
      <c r="G120" s="122"/>
      <c r="H120" s="122"/>
      <c r="I120" s="122"/>
    </row>
    <row r="121" spans="1:9">
      <c r="A121" s="100">
        <v>199</v>
      </c>
      <c r="B121" s="90" t="s">
        <v>953</v>
      </c>
      <c r="C121" s="101">
        <v>24480</v>
      </c>
      <c r="D121" s="126">
        <v>45614</v>
      </c>
      <c r="E121" s="122"/>
      <c r="F121" s="122"/>
      <c r="G121" s="122"/>
      <c r="H121" s="122"/>
      <c r="I121" s="122"/>
    </row>
    <row r="122" spans="1:9">
      <c r="A122" s="100">
        <v>200</v>
      </c>
      <c r="B122" s="90" t="s">
        <v>954</v>
      </c>
      <c r="C122" s="101">
        <v>26136</v>
      </c>
      <c r="D122" s="126">
        <v>45614</v>
      </c>
      <c r="E122" s="128"/>
      <c r="F122" s="128"/>
      <c r="G122" s="128"/>
      <c r="H122" s="128"/>
      <c r="I122" s="128"/>
    </row>
    <row r="150" spans="1:1">
      <c r="A150" s="2" t="s">
        <v>16</v>
      </c>
    </row>
  </sheetData>
  <pageMargins left="0.7" right="0.7" top="0.75" bottom="0.75" header="0.3" footer="0.3"/>
  <pageSetup paperSize="9" orientation="portrait" verticalDpi="0" r:id="rId1"/>
  <legacyDrawing r:id="rId2"/>
  <tableParts count="16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C33"/>
  <sheetViews>
    <sheetView workbookViewId="0">
      <selection sqref="A1:C2"/>
    </sheetView>
  </sheetViews>
  <sheetFormatPr defaultRowHeight="12.75"/>
  <cols>
    <col min="1" max="1" width="15.7109375" customWidth="1"/>
    <col min="2" max="2" width="12.140625" customWidth="1"/>
    <col min="3" max="3" width="13" customWidth="1"/>
  </cols>
  <sheetData>
    <row r="1" spans="1:3">
      <c r="A1" t="s">
        <v>216</v>
      </c>
      <c r="B1" t="s">
        <v>217</v>
      </c>
      <c r="C1" t="s">
        <v>215</v>
      </c>
    </row>
    <row r="2" spans="1:3">
      <c r="A2" t="s">
        <v>214</v>
      </c>
      <c r="B2">
        <v>55150</v>
      </c>
      <c r="C2">
        <v>3</v>
      </c>
    </row>
    <row r="33" spans="2:2">
      <c r="B33">
        <v>0.15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4"/>
  <dimension ref="A1:BH295"/>
  <sheetViews>
    <sheetView zoomScale="85" zoomScaleNormal="85" workbookViewId="0">
      <selection activeCell="A34" sqref="A34"/>
    </sheetView>
  </sheetViews>
  <sheetFormatPr defaultRowHeight="12.75"/>
  <cols>
    <col min="1" max="1" width="14.28515625" customWidth="1"/>
    <col min="2" max="5" width="23.85546875" customWidth="1"/>
    <col min="6" max="6" width="32.140625" customWidth="1"/>
    <col min="7" max="7" width="16.7109375" customWidth="1"/>
    <col min="8" max="8" width="12.7109375" customWidth="1"/>
    <col min="9" max="9" width="30.42578125" customWidth="1"/>
    <col min="10" max="10" width="22.28515625" customWidth="1"/>
    <col min="11" max="11" width="16.7109375" customWidth="1"/>
    <col min="12" max="12" width="12.7109375" customWidth="1"/>
    <col min="13" max="13" width="16.7109375" customWidth="1"/>
    <col min="14" max="14" width="12.7109375" customWidth="1"/>
    <col min="15" max="15" width="16.7109375" customWidth="1"/>
    <col min="16" max="16" width="12.7109375" customWidth="1"/>
    <col min="17" max="17" width="16.7109375" customWidth="1"/>
    <col min="18" max="18" width="12.7109375" customWidth="1"/>
    <col min="19" max="19" width="16.7109375" customWidth="1"/>
    <col min="20" max="20" width="12.7109375" customWidth="1"/>
    <col min="21" max="21" width="16.7109375" customWidth="1"/>
    <col min="22" max="22" width="12.7109375" customWidth="1"/>
    <col min="23" max="23" width="16.7109375" customWidth="1"/>
    <col min="24" max="24" width="12.7109375" customWidth="1"/>
    <col min="25" max="25" width="16.7109375" customWidth="1"/>
    <col min="26" max="26" width="12.7109375" customWidth="1"/>
    <col min="27" max="27" width="16.7109375" customWidth="1"/>
    <col min="28" max="28" width="12.7109375" customWidth="1"/>
    <col min="29" max="29" width="16.7109375" customWidth="1"/>
    <col min="30" max="30" width="12.7109375" customWidth="1"/>
    <col min="31" max="31" width="16.7109375" customWidth="1"/>
    <col min="32" max="32" width="12.7109375" customWidth="1"/>
    <col min="33" max="33" width="16.7109375" customWidth="1"/>
    <col min="34" max="34" width="12.7109375" customWidth="1"/>
    <col min="35" max="35" width="16.7109375" customWidth="1"/>
    <col min="36" max="36" width="12.7109375" customWidth="1"/>
    <col min="37" max="37" width="16.7109375" customWidth="1"/>
    <col min="38" max="38" width="12.7109375" customWidth="1"/>
    <col min="39" max="39" width="16.7109375" customWidth="1"/>
    <col min="40" max="40" width="12.7109375" customWidth="1"/>
    <col min="41" max="41" width="16.7109375" customWidth="1"/>
    <col min="42" max="42" width="12.7109375" customWidth="1"/>
    <col min="43" max="43" width="16.7109375" customWidth="1"/>
    <col min="44" max="44" width="12.7109375" customWidth="1"/>
    <col min="45" max="45" width="16.7109375" customWidth="1"/>
    <col min="46" max="46" width="12.7109375" customWidth="1"/>
    <col min="47" max="47" width="16.7109375" customWidth="1"/>
    <col min="48" max="48" width="12.7109375" customWidth="1"/>
    <col min="49" max="49" width="16.7109375" customWidth="1"/>
    <col min="50" max="50" width="12.7109375" customWidth="1"/>
    <col min="51" max="51" width="16.7109375" customWidth="1"/>
    <col min="52" max="52" width="12.7109375" customWidth="1"/>
    <col min="53" max="53" width="16.7109375" customWidth="1"/>
    <col min="54" max="54" width="12.7109375" customWidth="1"/>
    <col min="55" max="55" width="21.42578125" customWidth="1"/>
    <col min="56" max="56" width="17.42578125" bestFit="1" customWidth="1"/>
    <col min="57" max="57" width="11.140625" customWidth="1"/>
  </cols>
  <sheetData>
    <row r="1" spans="1:60">
      <c r="A1">
        <v>0</v>
      </c>
      <c r="B1" t="s">
        <v>76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208</v>
      </c>
      <c r="Q1" t="s">
        <v>209</v>
      </c>
      <c r="R1" t="s">
        <v>210</v>
      </c>
      <c r="S1" t="s">
        <v>211</v>
      </c>
      <c r="T1" t="s">
        <v>212</v>
      </c>
      <c r="U1" t="s">
        <v>213</v>
      </c>
      <c r="X1" s="53">
        <v>1</v>
      </c>
      <c r="Y1" s="53">
        <v>2</v>
      </c>
      <c r="Z1" s="53">
        <v>3</v>
      </c>
      <c r="AA1" s="53">
        <v>4</v>
      </c>
      <c r="AB1" s="53">
        <v>5</v>
      </c>
      <c r="AC1" s="53">
        <v>6</v>
      </c>
      <c r="AD1" s="53">
        <v>7</v>
      </c>
      <c r="AE1" s="53">
        <v>8</v>
      </c>
      <c r="AF1" s="53">
        <v>9</v>
      </c>
      <c r="AG1" s="53">
        <v>10</v>
      </c>
      <c r="AI1" s="53">
        <v>1</v>
      </c>
      <c r="AJ1" s="53">
        <v>2</v>
      </c>
      <c r="AK1" s="53">
        <v>3</v>
      </c>
      <c r="AL1" s="53">
        <v>4</v>
      </c>
      <c r="AM1" s="53">
        <v>5</v>
      </c>
      <c r="AN1" s="53">
        <v>6</v>
      </c>
      <c r="AO1" s="53">
        <v>7</v>
      </c>
      <c r="AP1" s="53">
        <v>8</v>
      </c>
      <c r="AQ1" s="53">
        <v>9</v>
      </c>
      <c r="AR1" s="53">
        <v>10</v>
      </c>
      <c r="AT1" s="53">
        <v>1</v>
      </c>
      <c r="AU1" s="53">
        <v>2</v>
      </c>
      <c r="AV1" s="53">
        <v>3</v>
      </c>
      <c r="AW1" s="53">
        <v>4</v>
      </c>
      <c r="AX1" s="53">
        <v>5</v>
      </c>
      <c r="AY1" s="53">
        <v>6</v>
      </c>
      <c r="AZ1" s="53">
        <v>7</v>
      </c>
      <c r="BA1" s="53">
        <v>8</v>
      </c>
      <c r="BB1" s="53">
        <v>9</v>
      </c>
      <c r="BC1" s="53">
        <v>10</v>
      </c>
      <c r="BF1">
        <v>211</v>
      </c>
    </row>
    <row r="2" spans="1:60">
      <c r="A2" t="str">
        <f>'КСО-204'!C7</f>
        <v>КСО-204</v>
      </c>
      <c r="B2" s="50" t="str">
        <f>IF('КСО-204'!$C$7="КСО-211","",IF('КСО-204'!D17="","",'КСО-204'!D17))</f>
        <v>РВФЗ-10/1000</v>
      </c>
      <c r="C2" s="48">
        <f>IFERROR(VLOOKUP(B2,Прайсы!$L$3:$M$20,2,FALSE),1)</f>
        <v>34320</v>
      </c>
      <c r="D2" s="50" t="str">
        <f>IF('КСО-204'!$C$7="КСО-211","",IF('КСО-204'!E17="","",'КСО-204'!E17))</f>
        <v>РВФЗ-10/1000</v>
      </c>
      <c r="E2" s="48">
        <f>IFERROR(VLOOKUP(D2,Прайсы!$L$3:$M$20,2,FALSE),1)</f>
        <v>34320</v>
      </c>
      <c r="F2" s="50" t="str">
        <f>IF('КСО-204'!$C$7="КСО-211","",IF('КСО-204'!F17="","",'КСО-204'!F17))</f>
        <v>РВФЗ-10/1000</v>
      </c>
      <c r="G2" s="48">
        <f>IFERROR(VLOOKUP(F2,Прайсы!$L$3:$M$20,2,FALSE),1)</f>
        <v>34320</v>
      </c>
      <c r="H2" s="50" t="str">
        <f>IF('КСО-204'!$C$7="КСО-211","",IF('КСО-204'!G17="","",'КСО-204'!G17))</f>
        <v>РВФЗ-10/1000</v>
      </c>
      <c r="I2" s="48">
        <f>IFERROR(VLOOKUP(H2,Прайсы!$L$3:$M$20,2,FALSE),1)</f>
        <v>34320</v>
      </c>
      <c r="J2" s="50" t="str">
        <f>IF('КСО-204'!$C$7="КСО-211","",IF('КСО-204'!H17="","",'КСО-204'!H17))</f>
        <v>РВФЗ-10/1000</v>
      </c>
      <c r="K2" s="48">
        <f>IFERROR(VLOOKUP(J2,Прайсы!$L$3:$M$20,2,FALSE),1)</f>
        <v>34320</v>
      </c>
      <c r="L2" s="50" t="str">
        <f>IF('КСО-204'!$C$7="КСО-211","",IF('КСО-204'!I17="","",'КСО-204'!I17))</f>
        <v>РВФЗ-10/1000</v>
      </c>
      <c r="M2" s="48">
        <f>IFERROR(VLOOKUP(L2,Прайсы!$L$3:$M$20,2,FALSE),1)</f>
        <v>34320</v>
      </c>
      <c r="N2" s="50" t="str">
        <f>IF('КСО-204'!$C$7="КСО-211","",IF('КСО-204'!J17="","",'КСО-204'!J17))</f>
        <v>РВФЗ-10/1000</v>
      </c>
      <c r="O2" s="48">
        <f>IFERROR(VLOOKUP(N2,Прайсы!$L$3:$M$20,2,FALSE),1)</f>
        <v>34320</v>
      </c>
      <c r="P2" s="50" t="str">
        <f>IF('КСО-204'!$C$7="КСО-211","",IF('КСО-204'!K17="","",'КСО-204'!K17))</f>
        <v/>
      </c>
      <c r="Q2" s="48">
        <f>IFERROR(VLOOKUP(P2,Прайсы!$L$3:$M$20,2,FALSE),1)</f>
        <v>1</v>
      </c>
      <c r="R2" s="50" t="str">
        <f>IF('КСО-204'!$C$7="КСО-211","",IF('КСО-204'!L17="","",'КСО-204'!L17))</f>
        <v/>
      </c>
      <c r="S2" s="48">
        <f>IFERROR(VLOOKUP(R2,Прайсы!$L$3:$M$20,2,FALSE),1)</f>
        <v>1</v>
      </c>
      <c r="T2" s="50" t="str">
        <f>IF('КСО-204'!$C$7="КСО-211","",IF('КСО-204'!M17="","",'КСО-204'!M17))</f>
        <v/>
      </c>
      <c r="U2" s="48">
        <f>IFERROR(VLOOKUP(T2,Прайсы!$L$3:$M$20,2,FALSE),1)</f>
        <v>1</v>
      </c>
      <c r="W2" t="s">
        <v>79</v>
      </c>
      <c r="X2">
        <f>IF('КСО-204'!D17&lt;&gt;"",1,0)</f>
        <v>1</v>
      </c>
      <c r="Y2">
        <f>IF('КСО-204'!E17&lt;&gt;"",1,0)</f>
        <v>1</v>
      </c>
      <c r="Z2">
        <f>IF('КСО-204'!F17&lt;&gt;"",1,0)</f>
        <v>1</v>
      </c>
      <c r="AA2">
        <f>IF('КСО-204'!G17&lt;&gt;"",1,0)</f>
        <v>1</v>
      </c>
      <c r="AB2">
        <f>IF('КСО-204'!H17&lt;&gt;"",1,0)</f>
        <v>1</v>
      </c>
      <c r="AC2">
        <f>IF('КСО-204'!I17&lt;&gt;"",1,0)</f>
        <v>1</v>
      </c>
      <c r="AD2">
        <f>IF('КСО-204'!J17&lt;&gt;"",1,0)</f>
        <v>1</v>
      </c>
      <c r="AE2">
        <f>IF('КСО-204'!K17&lt;&gt;"",1,0)</f>
        <v>0</v>
      </c>
      <c r="AF2">
        <f>IF('КСО-204'!L17&lt;&gt;"",1,0)</f>
        <v>0</v>
      </c>
      <c r="AG2">
        <f>IF('КСО-204'!M17&lt;&gt;"",1,0)</f>
        <v>0</v>
      </c>
      <c r="AI2" t="str">
        <f>REPLACE(B2,1,7,"")</f>
        <v>/1000</v>
      </c>
      <c r="AJ2" t="str">
        <f>REPLACE(D2,1,7,"")</f>
        <v>/1000</v>
      </c>
      <c r="AK2" t="str">
        <f>REPLACE(F2,1,7,"")</f>
        <v>/1000</v>
      </c>
      <c r="AL2" t="str">
        <f>REPLACE(H2,1,7,"")</f>
        <v>/1000</v>
      </c>
      <c r="AM2" t="str">
        <f>REPLACE(J2,1,7,"")</f>
        <v>/1000</v>
      </c>
      <c r="AN2" t="str">
        <f>REPLACE(L2,1,7,"")</f>
        <v>/1000</v>
      </c>
      <c r="AO2" t="str">
        <f>REPLACE(N2,1,7,"")</f>
        <v>/1000</v>
      </c>
      <c r="AP2" t="str">
        <f>REPLACE(P2,1,7,"")</f>
        <v/>
      </c>
      <c r="AQ2" t="str">
        <f>REPLACE(R2,1,7,"")</f>
        <v/>
      </c>
      <c r="AR2" t="str">
        <f>REPLACE(T2,1,7,"")</f>
        <v/>
      </c>
      <c r="AT2" s="109">
        <f>VLOOKUP(Таблица13[[#This Row],[оборудование]],Таблица_Регистрация_2012_год.accdb[[РВЗ]:[Дата]],3,FALSE)</f>
        <v>45330</v>
      </c>
      <c r="AU2" s="109">
        <f>VLOOKUP(Таблица13[[#This Row],[оборудование2]],Таблица_Регистрация_2012_год.accdb[[РВЗ]:[Дата]],3,FALSE)</f>
        <v>45330</v>
      </c>
      <c r="AV2" s="109">
        <f>VLOOKUP(Таблица13[[#This Row],[оборудование4]],Таблица_Регистрация_2012_год.accdb[[РВЗ]:[Дата]],3,FALSE)</f>
        <v>45330</v>
      </c>
      <c r="AW2" s="109">
        <f>VLOOKUP(Таблица13[[#This Row],[оборудование6]],Таблица_Регистрация_2012_год.accdb[[РВЗ]:[Дата]],3,FALSE)</f>
        <v>45330</v>
      </c>
      <c r="AX2" s="109">
        <f>VLOOKUP(Таблица13[[#This Row],[оборудование8]],Таблица_Регистрация_2012_год.accdb[[РВЗ]:[Дата]],3,FALSE)</f>
        <v>45330</v>
      </c>
      <c r="AY2" s="109">
        <f>VLOOKUP(Таблица13[[#This Row],[оборудование10]],Таблица_Регистрация_2012_год.accdb[[РВЗ]:[Дата]],3,FALSE)</f>
        <v>45330</v>
      </c>
      <c r="AZ2" s="109">
        <f>VLOOKUP(Таблица13[[#This Row],[оборудование12]],Таблица_Регистрация_2012_год.accdb[[РВЗ]:[Дата]],3,FALSE)</f>
        <v>45330</v>
      </c>
      <c r="BA2" s="109" t="e">
        <f>VLOOKUP(Таблица13[[#This Row],[оборудование14]],Таблица_Регистрация_2012_год.accdb[[РВЗ]:[Дата]],3,FALSE)</f>
        <v>#N/A</v>
      </c>
      <c r="BB2" s="109" t="e">
        <f>VLOOKUP(Таблица13[[#This Row],[оборудование16]],Таблица_Регистрация_2012_год.accdb[[РВЗ]:[Дата]],3,FALSE)</f>
        <v>#N/A</v>
      </c>
      <c r="BC2" s="109" t="e">
        <f>VLOOKUP(Таблица13[[#This Row],[оборудование18]],Таблица_Регистрация_2012_год.accdb[[РВЗ]:[Дата]],3,FALSE)</f>
        <v>#N/A</v>
      </c>
      <c r="BE2" s="117" t="s">
        <v>112</v>
      </c>
      <c r="BF2" s="117" t="s">
        <v>112</v>
      </c>
      <c r="BG2" s="117">
        <v>1600</v>
      </c>
    </row>
    <row r="3" spans="1:60">
      <c r="B3" s="50" t="str">
        <f>IF('КСО-204'!D18="","",'КСО-204'!D18)</f>
        <v>VM12-10-20/1000</v>
      </c>
      <c r="C3" s="48">
        <f>IFERROR(VLOOKUP(B3,Прайсы!$CB$3:$CC$50,2,FALSE),0)</f>
        <v>117020</v>
      </c>
      <c r="D3" s="50" t="str">
        <f>IF('КСО-204'!E18="","",'КСО-204'!E18)</f>
        <v>VM12-10-20/1000</v>
      </c>
      <c r="E3" s="48">
        <f>IFERROR(VLOOKUP(D3,Прайсы!$CB$3:$CC$50,2,FALSE),0)</f>
        <v>117020</v>
      </c>
      <c r="F3" s="50" t="str">
        <f>IF('КСО-204'!F18="","",'КСО-204'!F18)</f>
        <v>VM12-10-20/1000</v>
      </c>
      <c r="G3" s="48">
        <f>IFERROR(VLOOKUP(F3,Прайсы!$CB$3:$CC$50,2,FALSE),0)</f>
        <v>117020</v>
      </c>
      <c r="H3" s="50" t="str">
        <f>IF('КСО-204'!G18="","",'КСО-204'!G18)</f>
        <v/>
      </c>
      <c r="I3" s="48">
        <f>IFERROR(VLOOKUP(H3,Прайсы!$CB$3:$CC$50,2,FALSE),0)</f>
        <v>0</v>
      </c>
      <c r="J3" s="50" t="str">
        <f>IF('КСО-204'!H18="","",'КСО-204'!H18)</f>
        <v/>
      </c>
      <c r="K3" s="48">
        <f>IFERROR(VLOOKUP(J3,Прайсы!$CB$3:$CC$50,2,FALSE),0)</f>
        <v>0</v>
      </c>
      <c r="L3" s="50" t="str">
        <f>IF('КСО-204'!I18="","",'КСО-204'!I18)</f>
        <v>VM12-10-20/1000</v>
      </c>
      <c r="M3" s="48">
        <f>IFERROR(VLOOKUP(L3,Прайсы!$CB$3:$CC$50,2,FALSE),0)</f>
        <v>117020</v>
      </c>
      <c r="N3" s="50" t="str">
        <f>IF('КСО-204'!J18="","",'КСО-204'!J18)</f>
        <v/>
      </c>
      <c r="O3" s="48">
        <f>IFERROR(VLOOKUP(N3,Прайсы!$CB$3:$CC$50,2,FALSE),0)</f>
        <v>0</v>
      </c>
      <c r="P3" s="50" t="str">
        <f>IF('КСО-204'!K18="","",'КСО-204'!K18)</f>
        <v/>
      </c>
      <c r="Q3" s="48">
        <f>IFERROR(VLOOKUP(P3,Прайсы!$CB$3:$CC$50,2,FALSE),0)</f>
        <v>0</v>
      </c>
      <c r="R3" s="50" t="str">
        <f>IF('КСО-204'!L18="","",'КСО-204'!L18)</f>
        <v/>
      </c>
      <c r="S3" s="48">
        <f>IFERROR(VLOOKUP(R3,Прайсы!$CB$3:$CC$50,2,FALSE),0)</f>
        <v>0</v>
      </c>
      <c r="T3" s="50" t="str">
        <f>IF('КСО-204'!M18="","",'КСО-204'!M18)</f>
        <v/>
      </c>
      <c r="U3" s="48">
        <f>IFERROR(VLOOKUP(T3,Прайсы!$CB$3:$CC$50,2,FALSE),0)</f>
        <v>0</v>
      </c>
      <c r="W3" t="s">
        <v>80</v>
      </c>
      <c r="X3">
        <f>IF(B3&lt;&gt;"",1,0)</f>
        <v>1</v>
      </c>
      <c r="Y3">
        <f>IF(D3&lt;&gt;"",1,0)</f>
        <v>1</v>
      </c>
      <c r="Z3">
        <f>IF(F3&lt;&gt;"",1,0)</f>
        <v>1</v>
      </c>
      <c r="AA3">
        <f>IF(H3&lt;&gt;"",1,0)</f>
        <v>0</v>
      </c>
      <c r="AB3">
        <f>IF(J3&lt;&gt;"",1,0)</f>
        <v>0</v>
      </c>
      <c r="AC3">
        <f>IF(L3&lt;&gt;"",1,0)</f>
        <v>1</v>
      </c>
      <c r="AD3">
        <f>IF(N3&lt;&gt;"",1,0)</f>
        <v>0</v>
      </c>
      <c r="AE3">
        <f>IF(P3&lt;&gt;"",1,0)</f>
        <v>0</v>
      </c>
      <c r="AF3">
        <f>IF(R3&lt;&gt;"",1,0)</f>
        <v>0</v>
      </c>
      <c r="AG3">
        <f>IF(T3&lt;&gt;"",1,0)</f>
        <v>0</v>
      </c>
      <c r="AT3" s="109">
        <f>VLOOKUP(Таблица13[[#This Row],[оборудование]],Таблица_Регистрация_2012_год.accdb_10[[Выкл]:[дата]],3,FALSE)</f>
        <v>45300</v>
      </c>
      <c r="AU3" s="109">
        <f>VLOOKUP(Таблица13[[#This Row],[оборудование2]],Таблица_Регистрация_2012_год.accdb_10[[Выкл]:[дата]],3,FALSE)</f>
        <v>45300</v>
      </c>
      <c r="AV3" s="109">
        <f>VLOOKUP(Таблица13[[#This Row],[оборудование4]],Таблица_Регистрация_2012_год.accdb_10[[Выкл]:[дата]],3,FALSE)</f>
        <v>45300</v>
      </c>
      <c r="AW3" s="109" t="e">
        <f>VLOOKUP(Таблица13[[#This Row],[оборудование6]],Таблица_Регистрация_2012_год.accdb_10[[Выкл]:[дата]],3,FALSE)</f>
        <v>#N/A</v>
      </c>
      <c r="AX3" s="109" t="e">
        <f>VLOOKUP(Таблица13[[#This Row],[оборудование8]],Таблица_Регистрация_2012_год.accdb_10[[Выкл]:[дата]],3,FALSE)</f>
        <v>#N/A</v>
      </c>
      <c r="AY3" s="109">
        <f>VLOOKUP(Таблица13[[#This Row],[оборудование10]],Таблица_Регистрация_2012_год.accdb_10[[Выкл]:[дата]],3,FALSE)</f>
        <v>45300</v>
      </c>
      <c r="AZ3" s="109" t="e">
        <f>VLOOKUP(Таблица13[[#This Row],[оборудование12]],Таблица_Регистрация_2012_год.accdb_10[[Выкл]:[дата]],3,FALSE)</f>
        <v>#N/A</v>
      </c>
      <c r="BA3" s="109" t="e">
        <f>VLOOKUP(Таблица13[[#This Row],[оборудование14]],Таблица_Регистрация_2012_год.accdb_10[[Выкл]:[дата]],3,FALSE)</f>
        <v>#N/A</v>
      </c>
      <c r="BB3" s="109" t="e">
        <f>VLOOKUP(Таблица13[[#This Row],[оборудование16]],Таблица_Регистрация_2012_год.accdb_10[[Выкл]:[дата]],3,FALSE)</f>
        <v>#N/A</v>
      </c>
      <c r="BC3" s="109" t="e">
        <f>VLOOKUP(Таблица13[[#This Row],[оборудование18]],Таблица_Регистрация_2012_год.accdb_10[[Выкл]:[дата]],3,FALSE)</f>
        <v>#N/A</v>
      </c>
      <c r="BE3" s="117">
        <v>1</v>
      </c>
      <c r="BF3" s="117">
        <v>1</v>
      </c>
      <c r="BG3" s="117">
        <v>1</v>
      </c>
    </row>
    <row r="4" spans="1:60">
      <c r="B4" s="50" t="str">
        <f>IF('КСО-204'!D19="","",'КСО-204'!D19)</f>
        <v>CVM 1.2 ВЕАШ468389.001-01</v>
      </c>
      <c r="C4" s="48">
        <f>IFERROR(VLOOKUP(B4,Прайсы!$BC$3:$BD$7,2,FALSE),0)</f>
        <v>29620</v>
      </c>
      <c r="D4" s="50" t="str">
        <f>IF('КСО-204'!E19="","",'КСО-204'!E19)</f>
        <v>CVM 1.2 ВЕАШ468389.001-01</v>
      </c>
      <c r="E4" s="48">
        <f>IFERROR(VLOOKUP(D4,Прайсы!$BC$3:$BD$7,2,FALSE),0)</f>
        <v>29620</v>
      </c>
      <c r="F4" s="50" t="str">
        <f>IF('КСО-204'!F19="","",'КСО-204'!F19)</f>
        <v>CVM 1.2 ВЕАШ468389.001-01</v>
      </c>
      <c r="G4" s="48">
        <f>IFERROR(VLOOKUP(F4,Прайсы!$BC$3:$BD$7,2,FALSE),0)</f>
        <v>29620</v>
      </c>
      <c r="H4" s="50" t="str">
        <f>IF('КСО-204'!G19="","",'КСО-204'!G19)</f>
        <v/>
      </c>
      <c r="I4" s="48">
        <f>IFERROR(VLOOKUP(H4,Прайсы!$BC$3:$BD$7,2,FALSE),0)</f>
        <v>0</v>
      </c>
      <c r="J4" s="50" t="str">
        <f>IF('КСО-204'!H19="","",'КСО-204'!H19)</f>
        <v/>
      </c>
      <c r="K4" s="48">
        <f>IFERROR(VLOOKUP(J4,Прайсы!$BC$3:$BD$7,2,FALSE),0)</f>
        <v>0</v>
      </c>
      <c r="L4" s="50" t="str">
        <f>IF('КСО-204'!I19="","",'КСО-204'!I19)</f>
        <v>CVM 1.2 ВЕАШ468389.001-01</v>
      </c>
      <c r="M4" s="48">
        <f>IFERROR(VLOOKUP(L4,Прайсы!$BC$3:$BD$7,2,FALSE),0)</f>
        <v>29620</v>
      </c>
      <c r="N4" s="50" t="str">
        <f>IF('КСО-204'!J19="","",'КСО-204'!J19)</f>
        <v/>
      </c>
      <c r="O4" s="48">
        <f>IFERROR(VLOOKUP(N4,Прайсы!$BC$3:$BD$7,2,FALSE),0)</f>
        <v>0</v>
      </c>
      <c r="P4" s="50" t="str">
        <f>IF('КСО-204'!K19="","",'КСО-204'!K19)</f>
        <v/>
      </c>
      <c r="Q4" s="48">
        <f>IFERROR(VLOOKUP(P4,Прайсы!$BC$3:$BD$7,2,FALSE),0)</f>
        <v>0</v>
      </c>
      <c r="R4" s="50" t="str">
        <f>IF('КСО-204'!L19="","",'КСО-204'!L19)</f>
        <v/>
      </c>
      <c r="S4" s="48">
        <f>IFERROR(VLOOKUP(R4,Прайсы!$BC$3:$BD$7,2,FALSE),0)</f>
        <v>0</v>
      </c>
      <c r="T4" s="50" t="str">
        <f>IF('КСО-204'!M19="","",'КСО-204'!M19)</f>
        <v/>
      </c>
      <c r="U4" s="48">
        <f>IFERROR(VLOOKUP(T4,Прайсы!$BC$3:$BD$7,2,FALSE),0)</f>
        <v>0</v>
      </c>
      <c r="AT4" s="109">
        <f>VLOOKUP(Таблица13[[#This Row],[оборудование]],Таблица_Регистрация_2012_год.accdb_6[[БУ]:[дата]],3,FALSE)</f>
        <v>45300</v>
      </c>
      <c r="AU4" s="109">
        <f>VLOOKUP(Таблица13[[#This Row],[оборудование2]],Таблица_Регистрация_2012_год.accdb_6[[БУ]:[дата]],3,FALSE)</f>
        <v>45300</v>
      </c>
      <c r="AV4" s="109">
        <f>VLOOKUP(Таблица13[[#This Row],[оборудование4]],Таблица_Регистрация_2012_год.accdb_6[[БУ]:[дата]],3,FALSE)</f>
        <v>45300</v>
      </c>
      <c r="AW4" s="109" t="e">
        <f>VLOOKUP(Таблица13[[#This Row],[оборудование6]],Таблица_Регистрация_2012_год.accdb_6[[БУ]:[дата]],3,FALSE)</f>
        <v>#N/A</v>
      </c>
      <c r="AX4" s="109" t="e">
        <f>VLOOKUP(Таблица13[[#This Row],[оборудование8]],Таблица_Регистрация_2012_год.accdb_6[[БУ]:[дата]],3,FALSE)</f>
        <v>#N/A</v>
      </c>
      <c r="AY4" s="109">
        <f>VLOOKUP(Таблица13[[#This Row],[оборудование10]],Таблица_Регистрация_2012_год.accdb_6[[БУ]:[дата]],3,FALSE)</f>
        <v>45300</v>
      </c>
      <c r="AZ4" s="109" t="e">
        <f>VLOOKUP(Таблица13[[#This Row],[оборудование12]],Таблица_Регистрация_2012_год.accdb_6[[БУ]:[дата]],3,FALSE)</f>
        <v>#N/A</v>
      </c>
      <c r="BA4" s="109" t="e">
        <f>VLOOKUP(Таблица13[[#This Row],[оборудование14]],Таблица_Регистрация_2012_год.accdb_6[[БУ]:[дата]],3,FALSE)</f>
        <v>#N/A</v>
      </c>
      <c r="BB4" s="109" t="e">
        <f>VLOOKUP(Таблица13[[#This Row],[оборудование16]],Таблица_Регистрация_2012_год.accdb_6[[БУ]:[дата]],3,FALSE)</f>
        <v>#N/A</v>
      </c>
      <c r="BC4" s="109" t="e">
        <f>VLOOKUP(Таблица13[[#This Row],[оборудование18]],Таблица_Регистрация_2012_год.accdb_6[[БУ]:[дата]],3,FALSE)</f>
        <v>#N/A</v>
      </c>
      <c r="BE4" s="117">
        <v>8</v>
      </c>
      <c r="BF4" s="117">
        <v>8</v>
      </c>
      <c r="BG4" s="117">
        <v>8</v>
      </c>
    </row>
    <row r="5" spans="1:60">
      <c r="B5" s="50" t="str">
        <f>IF('КСО-204'!D20="","",'КСО-204'!D20)</f>
        <v>АГАТ 200. А</v>
      </c>
      <c r="C5" s="48">
        <f>IFERROR(VLOOKUP(B5,Прайсы!$AW$3:$AX$108,2,FALSE),0)</f>
        <v>70833</v>
      </c>
      <c r="D5" s="50" t="str">
        <f>IF('КСО-204'!E20="","",'КСО-204'!E20)</f>
        <v>АГАТ 200. А</v>
      </c>
      <c r="E5" s="48">
        <f>IFERROR(VLOOKUP(D5,Прайсы!$AW$3:$AX$108,2,FALSE),0)</f>
        <v>70833</v>
      </c>
      <c r="F5" s="50" t="str">
        <f>IF('КСО-204'!F20="","",'КСО-204'!F20)</f>
        <v>АГАТ 200. АВ</v>
      </c>
      <c r="G5" s="48">
        <f>IFERROR(VLOOKUP(F5,Прайсы!$AW$3:$AX$108,2,FALSE),0)</f>
        <v>79167</v>
      </c>
      <c r="H5" s="50" t="str">
        <f>IF('КСО-204'!G20="","",'КСО-204'!G20)</f>
        <v/>
      </c>
      <c r="I5" s="48">
        <f>IFERROR(VLOOKUP(H5,Прайсы!$AW$3:$AX$108,2,FALSE),0)</f>
        <v>0</v>
      </c>
      <c r="J5" s="50" t="str">
        <f>IF('КСО-204'!H20="","",'КСО-204'!H20)</f>
        <v>АГАТ 200. В</v>
      </c>
      <c r="K5" s="48">
        <f>IFERROR(VLOOKUP(J5,Прайсы!$AW$3:$AX$108,2,FALSE),0)</f>
        <v>70833</v>
      </c>
      <c r="L5" s="50" t="str">
        <f>IF('КСО-204'!I20="","",'КСО-204'!I20)</f>
        <v>АГАТ 200. АВ</v>
      </c>
      <c r="M5" s="48">
        <f>IFERROR(VLOOKUP(L5,Прайсы!$AW$3:$AX$108,2,FALSE),0)</f>
        <v>79167</v>
      </c>
      <c r="N5" s="50" t="str">
        <f>IF('КСО-204'!J20="","",'КСО-204'!J20)</f>
        <v/>
      </c>
      <c r="O5" s="48">
        <f>IFERROR(VLOOKUP(N5,Прайсы!$AW$3:$AX$108,2,FALSE),0)</f>
        <v>0</v>
      </c>
      <c r="P5" s="50" t="str">
        <f>IF('КСО-204'!K20="","",'КСО-204'!K20)</f>
        <v/>
      </c>
      <c r="Q5" s="48">
        <f>IFERROR(VLOOKUP(P5,Прайсы!$AW$3:$AX$108,2,FALSE),0)</f>
        <v>0</v>
      </c>
      <c r="R5" s="50" t="str">
        <f>IF('КСО-204'!L20="","",'КСО-204'!L20)</f>
        <v/>
      </c>
      <c r="S5" s="48">
        <f>IFERROR(VLOOKUP(R5,Прайсы!$AW$3:$AX$108,2,FALSE),0)</f>
        <v>0</v>
      </c>
      <c r="T5" s="50" t="str">
        <f>IF('КСО-204'!M20="","",'КСО-204'!M20)</f>
        <v/>
      </c>
      <c r="U5" s="48">
        <f>IFERROR(VLOOKUP(T5,Прайсы!$AW$3:$AX$108,2,FALSE),0)</f>
        <v>0</v>
      </c>
      <c r="AT5" s="109">
        <f>VLOOKUP(Таблица13[[#This Row],[оборудование]],Таблица_Регистрация_2012_год.accdb_5[[МПЗ]:[Дата]],3,FALSE)</f>
        <v>45677</v>
      </c>
      <c r="AU5" s="109">
        <f>VLOOKUP(Таблица13[[#This Row],[оборудование2]],Таблица_Регистрация_2012_год.accdb_5[[МПЗ]:[Дата]],3,FALSE)</f>
        <v>45677</v>
      </c>
      <c r="AV5" s="109">
        <f>VLOOKUP(Таблица13[[#This Row],[оборудование4]],Таблица_Регистрация_2012_год.accdb_5[[МПЗ]:[Дата]],3,FALSE)</f>
        <v>45677</v>
      </c>
      <c r="AW5" s="109" t="e">
        <f>VLOOKUP(Таблица13[[#This Row],[оборудование6]],Таблица_Регистрация_2012_год.accdb_5[[МПЗ]:[Дата]],3,FALSE)</f>
        <v>#N/A</v>
      </c>
      <c r="AX5" s="109">
        <f>VLOOKUP(Таблица13[[#This Row],[оборудование8]],Таблица_Регистрация_2012_год.accdb_5[[МПЗ]:[Дата]],3,FALSE)</f>
        <v>45677</v>
      </c>
      <c r="AY5" s="109">
        <f>VLOOKUP(Таблица13[[#This Row],[оборудование10]],Таблица_Регистрация_2012_год.accdb_5[[МПЗ]:[Дата]],3,FALSE)</f>
        <v>45677</v>
      </c>
      <c r="AZ5" s="109" t="e">
        <f>VLOOKUP(Таблица13[[#This Row],[оборудование12]],Таблица_Регистрация_2012_год.accdb_5[[МПЗ]:[Дата]],3,FALSE)</f>
        <v>#N/A</v>
      </c>
      <c r="BA5" s="109" t="e">
        <f>VLOOKUP(Таблица13[[#This Row],[оборудование14]],Таблица_Регистрация_2012_год.accdb_5[[МПЗ]:[Дата]],3,FALSE)</f>
        <v>#N/A</v>
      </c>
      <c r="BB5" s="109" t="e">
        <f>VLOOKUP(Таблица13[[#This Row],[оборудование16]],Таблица_Регистрация_2012_год.accdb_5[[МПЗ]:[Дата]],3,FALSE)</f>
        <v>#N/A</v>
      </c>
      <c r="BC5" s="109" t="e">
        <f>VLOOKUP(Таблица13[[#This Row],[оборудование18]],Таблица_Регистрация_2012_год.accdb_5[[МПЗ]:[Дата]],3,FALSE)</f>
        <v>#N/A</v>
      </c>
      <c r="BE5" s="117">
        <f>4+5</f>
        <v>9</v>
      </c>
      <c r="BF5" s="117">
        <f>4+5</f>
        <v>9</v>
      </c>
      <c r="BG5" s="117">
        <f>4*2+5*2</f>
        <v>18</v>
      </c>
      <c r="BH5" t="str">
        <f>"+сборная 5м"</f>
        <v>+сборная 5м</v>
      </c>
    </row>
    <row r="6" spans="1:60">
      <c r="B6" s="50">
        <f>IF('КСО-204'!D21="","",'КСО-204'!D21)</f>
        <v>3</v>
      </c>
      <c r="C6" s="48">
        <f>IF(AND(B6=1,B3=""),"ОШИБКА",IF(B6=1,0,IF(B6=2,C7,2*C7)))</f>
        <v>46080</v>
      </c>
      <c r="D6" s="50">
        <f>IF('КСО-204'!E21="","",'КСО-204'!E21)</f>
        <v>3</v>
      </c>
      <c r="E6" s="48">
        <f>IF(AND(D6=1,D3=""),"ОШИБКА",IF(D6=1,0,IF(D6=2,E7,2*E7)))</f>
        <v>46080</v>
      </c>
      <c r="F6" s="50">
        <f>IF('КСО-204'!F21="","",'КСО-204'!F21)</f>
        <v>3</v>
      </c>
      <c r="G6" s="48">
        <f>IF(AND(F6=1,F3=""),"ОШИБКА",IF(F6=1,0,IF(F6=2,G7,2*G7)))</f>
        <v>44880</v>
      </c>
      <c r="H6" s="50" t="str">
        <f>IF('КСО-204'!G21="","",'КСО-204'!G21)</f>
        <v/>
      </c>
      <c r="I6" s="48">
        <f>IF(AND(H6=1,H3=""),"ОШИБКА",IF(H6=1,0,IF(H6=2,I7,2*I7)))</f>
        <v>0</v>
      </c>
      <c r="J6" s="50" t="str">
        <f>IF('КСО-204'!H21="","",'КСО-204'!H21)</f>
        <v/>
      </c>
      <c r="K6" s="48">
        <f>IF(AND(J6=1,J3=""),"ОШИБКА",IF(J6=1,0,IF(J6=2,K7,2*K7)))</f>
        <v>0</v>
      </c>
      <c r="L6" s="50">
        <f>IF('КСО-204'!I21="","",'КСО-204'!I21)</f>
        <v>3</v>
      </c>
      <c r="M6" s="48">
        <f>IF(AND(L6=1,L3=""),"ОШИБКА",IF(L6=1,0,IF(L6=2,M7,2*M7)))</f>
        <v>46080</v>
      </c>
      <c r="N6" s="50" t="str">
        <f>IF('КСО-204'!J21="","",'КСО-204'!J21)</f>
        <v/>
      </c>
      <c r="O6" s="48">
        <f>IF(AND(N6=1,N3=""),"ОШИБКА",IF(N6=1,0,IF(N6=2,O7,2*O7)))</f>
        <v>0</v>
      </c>
      <c r="P6" s="50" t="str">
        <f>IF('КСО-204'!K21="","",'КСО-204'!K21)</f>
        <v/>
      </c>
      <c r="Q6" s="48">
        <f>IF(AND(P6=1,P3=""),"ОШИБКА",IF(P6=1,0,IF(P6=2,Q7,2*Q7)))</f>
        <v>0</v>
      </c>
      <c r="R6" s="50" t="str">
        <f>IF('КСО-204'!L21="","",'КСО-204'!L21)</f>
        <v/>
      </c>
      <c r="S6" s="48">
        <f>IF(AND(R6=1,R3=""),"ОШИБКА",IF(R6=1,0,IF(R6=2,S7,2*S7)))</f>
        <v>0</v>
      </c>
      <c r="T6" s="50" t="str">
        <f>IF('КСО-204'!M21="","",'КСО-204'!M21)</f>
        <v/>
      </c>
      <c r="U6" s="48">
        <f>IF(AND(T6=1,T3=""),"ОШИБКА",IF(T6=1,0,IF(T6=2,U7,2*U7)))</f>
        <v>0</v>
      </c>
      <c r="W6" t="s">
        <v>29</v>
      </c>
      <c r="X6">
        <f>IF(B6="",0,B6)</f>
        <v>3</v>
      </c>
      <c r="Y6">
        <f>IF(D6="",0,D6)</f>
        <v>3</v>
      </c>
      <c r="Z6">
        <f>IF(F6="",0,F6)</f>
        <v>3</v>
      </c>
      <c r="AA6">
        <f>IF(H6="",0,H6)</f>
        <v>0</v>
      </c>
      <c r="AB6">
        <f>IF(J6="",0,J6)</f>
        <v>0</v>
      </c>
      <c r="AC6">
        <f>IF(L6="",0,L6)</f>
        <v>3</v>
      </c>
      <c r="AD6">
        <f>IF(N6="",0,N6)</f>
        <v>0</v>
      </c>
      <c r="AE6">
        <f>IF(P6="",0,P6)</f>
        <v>0</v>
      </c>
      <c r="AF6">
        <f>IF(R6="",0,R6)</f>
        <v>0</v>
      </c>
      <c r="AG6">
        <f>IF(T6="",0,T6)</f>
        <v>0</v>
      </c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E6" s="117" t="s">
        <v>106</v>
      </c>
      <c r="BF6" s="117" t="s">
        <v>104</v>
      </c>
      <c r="BG6" s="117" t="s">
        <v>104</v>
      </c>
    </row>
    <row r="7" spans="1:60">
      <c r="B7" s="50" t="str">
        <f>IF('КСО-204'!D22="","",'КСО-204'!D22)</f>
        <v>ТПЛ-10 200/5 0,5S/10P</v>
      </c>
      <c r="C7" s="48">
        <f>IFERROR(VLOOKUP(B7,Прайсы!$B$3:$C$122,2,FALSE),0)</f>
        <v>23040</v>
      </c>
      <c r="D7" s="50" t="str">
        <f>IF('КСО-204'!E22="","",'КСО-204'!E22)</f>
        <v>ТПЛ-10 600/5 0,5S/10P</v>
      </c>
      <c r="E7" s="48">
        <f>IFERROR(VLOOKUP(D7,Прайсы!$B$3:$C$122,2,FALSE),0)</f>
        <v>23040</v>
      </c>
      <c r="F7" s="50" t="str">
        <f>IF('КСО-204'!F22="","",'КСО-204'!F22)</f>
        <v>ТПЛ-10 1000/5 0,5S/10P</v>
      </c>
      <c r="G7" s="48">
        <f>IFERROR(VLOOKUP(F7,Прайсы!$B$3:$C$122,2,FALSE),0)</f>
        <v>22440</v>
      </c>
      <c r="H7" s="50" t="str">
        <f>IF('КСО-204'!G22="","",'КСО-204'!G22)</f>
        <v/>
      </c>
      <c r="I7" s="48">
        <f>IFERROR(VLOOKUP(H7,Прайсы!$B$3:$C$122,2,FALSE),0)</f>
        <v>0</v>
      </c>
      <c r="J7" s="50" t="str">
        <f>IF('КСО-204'!H22="","",'КСО-204'!H22)</f>
        <v/>
      </c>
      <c r="K7" s="48">
        <f>IFERROR(VLOOKUP(J7,Прайсы!$B$3:$C$122,2,FALSE),0)</f>
        <v>0</v>
      </c>
      <c r="L7" s="50" t="str">
        <f>IF('КСО-204'!I22="","",'КСО-204'!I22)</f>
        <v>ТПЛ-10 800/5 0,5S/10P</v>
      </c>
      <c r="M7" s="48">
        <f>IFERROR(VLOOKUP(L7,Прайсы!$B$3:$C$122,2,FALSE),0)</f>
        <v>23040</v>
      </c>
      <c r="N7" s="50" t="str">
        <f>IF('КСО-204'!J22="","",'КСО-204'!J22)</f>
        <v/>
      </c>
      <c r="O7" s="48">
        <f>IFERROR(VLOOKUP(N7,Прайсы!$B$3:$C$122,2,FALSE),0)</f>
        <v>0</v>
      </c>
      <c r="P7" s="50" t="str">
        <f>IF('КСО-204'!K22="","",'КСО-204'!K22)</f>
        <v/>
      </c>
      <c r="Q7" s="48">
        <f>IFERROR(VLOOKUP(P7,Прайсы!$B$3:$C$122,2,FALSE),0)</f>
        <v>0</v>
      </c>
      <c r="R7" s="50" t="str">
        <f>IF('КСО-204'!L22="","",'КСО-204'!L22)</f>
        <v/>
      </c>
      <c r="S7" s="48">
        <f>IFERROR(VLOOKUP(R7,Прайсы!$B$3:$C$122,2,FALSE),0)</f>
        <v>0</v>
      </c>
      <c r="T7" s="50" t="str">
        <f>IF('КСО-204'!M22="","",'КСО-204'!M22)</f>
        <v/>
      </c>
      <c r="U7" s="48">
        <f>IFERROR(VLOOKUP(T7,Прайсы!$B$3:$C$122,2,FALSE),0)</f>
        <v>0</v>
      </c>
      <c r="AT7" s="109">
        <f>VLOOKUP(Таблица13[[#This Row],[оборудование]],Таблица_Регистрация_2012_год.accdb_1[[ТТ]:[Дата]],3,FALSE)</f>
        <v>45614</v>
      </c>
      <c r="AU7" s="109">
        <f>VLOOKUP(Таблица13[[#This Row],[оборудование2]],Таблица_Регистрация_2012_год.accdb_1[[ТТ]:[Дата]],3,FALSE)</f>
        <v>45614</v>
      </c>
      <c r="AV7" s="109">
        <f>VLOOKUP(Таблица13[[#This Row],[оборудование4]],Таблица_Регистрация_2012_год.accdb_1[[ТТ]:[Дата]],3,FALSE)</f>
        <v>45614</v>
      </c>
      <c r="AW7" s="109" t="e">
        <f>VLOOKUP(Таблица13[[#This Row],[оборудование6]],Таблица_Регистрация_2012_год.accdb_1[[ТТ]:[Дата]],3,FALSE)</f>
        <v>#N/A</v>
      </c>
      <c r="AX7" s="109" t="e">
        <f>VLOOKUP(Таблица13[[#This Row],[оборудование8]],Таблица_Регистрация_2012_год.accdb_1[[ТТ]:[Дата]],3,FALSE)</f>
        <v>#N/A</v>
      </c>
      <c r="AY7" s="109">
        <f>VLOOKUP(Таблица13[[#This Row],[оборудование10]],Таблица_Регистрация_2012_год.accdb_1[[ТТ]:[Дата]],3,FALSE)</f>
        <v>45614</v>
      </c>
      <c r="AZ7" s="109" t="e">
        <f>VLOOKUP(Таблица13[[#This Row],[оборудование12]],Таблица_Регистрация_2012_год.accdb_1[[ТТ]:[Дата]],3,FALSE)</f>
        <v>#N/A</v>
      </c>
      <c r="BA7" s="109" t="e">
        <f>VLOOKUP(Таблица13[[#This Row],[оборудование14]],Таблица_Регистрация_2012_год.accdb_1[[ТТ]:[Дата]],3,FALSE)</f>
        <v>#N/A</v>
      </c>
      <c r="BB7" s="109" t="e">
        <f>VLOOKUP(Таблица13[[#This Row],[оборудование16]],Таблица_Регистрация_2012_год.accdb_1[[ТТ]:[Дата]],3,FALSE)</f>
        <v>#N/A</v>
      </c>
      <c r="BC7" s="109" t="e">
        <f>VLOOKUP(Таблица13[[#This Row],[оборудование18]],Таблица_Регистрация_2012_год.accdb_1[[ТТ]:[Дата]],3,FALSE)</f>
        <v>#N/A</v>
      </c>
      <c r="BE7">
        <f>BE3*Прайсы!EU3</f>
        <v>188</v>
      </c>
      <c r="BF7">
        <f>BF3*Прайсы!EO3</f>
        <v>1319</v>
      </c>
      <c r="BG7">
        <f>BG3*Прайсы!EO3</f>
        <v>1319</v>
      </c>
    </row>
    <row r="8" spans="1:60">
      <c r="B8" s="50" t="str">
        <f>IF('КСО-204'!D23="","",'КСО-204'!D23)</f>
        <v>РВЗ-10/1000</v>
      </c>
      <c r="C8" s="48">
        <f>IFERROR(VLOOKUP(B8,Прайсы!$L$3:$M$20,2,FALSE),0)</f>
        <v>22568</v>
      </c>
      <c r="D8" s="50" t="str">
        <f>IF('КСО-204'!E23="","",'КСО-204'!E23)</f>
        <v>РВЗ-10/1000</v>
      </c>
      <c r="E8" s="48">
        <f>IFERROR(VLOOKUP(D8,Прайсы!$L$3:$M$20,2,FALSE),0)</f>
        <v>22568</v>
      </c>
      <c r="F8" s="50" t="str">
        <f>IF('КСО-204'!F23="","",'КСО-204'!F23)</f>
        <v>РВЗ-10/1000</v>
      </c>
      <c r="G8" s="48">
        <f>IFERROR(VLOOKUP(F8,Прайсы!$L$3:$M$20,2,FALSE),0)</f>
        <v>22568</v>
      </c>
      <c r="H8" s="50" t="str">
        <f>IF('КСО-204'!G23="","",'КСО-204'!G23)</f>
        <v/>
      </c>
      <c r="I8" s="48">
        <f>IFERROR(VLOOKUP(H8,Прайсы!$L$3:$M$20,2,FALSE),0)</f>
        <v>0</v>
      </c>
      <c r="J8" s="50" t="str">
        <f>IF('КСО-204'!H23="","",'КСО-204'!H23)</f>
        <v>ЗР-10</v>
      </c>
      <c r="K8" s="48">
        <f>IFERROR(VLOOKUP(J8,Прайсы!$L$3:$M$20,2,FALSE),0)</f>
        <v>11519</v>
      </c>
      <c r="L8" s="50" t="str">
        <f>IF('КСО-204'!I23="","",'КСО-204'!I23)</f>
        <v/>
      </c>
      <c r="M8" s="48">
        <f>IFERROR(VLOOKUP(L8,Прайсы!$L$3:$M$20,2,FALSE),0)</f>
        <v>0</v>
      </c>
      <c r="N8" s="50" t="str">
        <f>IF('КСО-204'!J23="","",'КСО-204'!J23)</f>
        <v/>
      </c>
      <c r="O8" s="48">
        <f>IFERROR(VLOOKUP(N8,Прайсы!$L$3:$M$20,2,FALSE),0)</f>
        <v>0</v>
      </c>
      <c r="P8" s="50" t="str">
        <f>IF('КСО-204'!K23="","",'КСО-204'!K23)</f>
        <v/>
      </c>
      <c r="Q8" s="48">
        <f>IFERROR(VLOOKUP(P8,Прайсы!$L$3:$M$20,2,FALSE),0)</f>
        <v>0</v>
      </c>
      <c r="R8" s="50" t="str">
        <f>IF('КСО-204'!L23="","",'КСО-204'!L23)</f>
        <v/>
      </c>
      <c r="S8" s="48">
        <f>IFERROR(VLOOKUP(R8,Прайсы!$L$3:$M$20,2,FALSE),0)</f>
        <v>0</v>
      </c>
      <c r="T8" s="50" t="str">
        <f>IF('КСО-204'!M23="","",'КСО-204'!M23)</f>
        <v/>
      </c>
      <c r="U8" s="48">
        <f>IFERROR(VLOOKUP(T8,Прайсы!$L$3:$M$20,2,FALSE),0)</f>
        <v>0</v>
      </c>
      <c r="W8" t="s">
        <v>81</v>
      </c>
      <c r="X8">
        <f>IF(B8&lt;&gt;"",1,0)</f>
        <v>1</v>
      </c>
      <c r="Y8">
        <f>IF(D8&lt;&gt;"",1,0)</f>
        <v>1</v>
      </c>
      <c r="Z8">
        <f>IF(F8&lt;&gt;"",1,0)</f>
        <v>1</v>
      </c>
      <c r="AA8">
        <f>IF(H8&lt;&gt;"",1,0)</f>
        <v>0</v>
      </c>
      <c r="AB8">
        <f>IF(J8&lt;&gt;"",1,0)</f>
        <v>1</v>
      </c>
      <c r="AC8">
        <f>IF(L8&lt;&gt;"",1,0)</f>
        <v>0</v>
      </c>
      <c r="AD8">
        <f>IF(N8&lt;&gt;"",1,0)</f>
        <v>0</v>
      </c>
      <c r="AE8">
        <f>IF(P8&lt;&gt;"",1,0)</f>
        <v>0</v>
      </c>
      <c r="AF8">
        <f>IF(R8&lt;&gt;"",1,0)</f>
        <v>0</v>
      </c>
      <c r="AG8">
        <f>IF(T8&lt;&gt;"",1,0)</f>
        <v>0</v>
      </c>
      <c r="AT8" s="109">
        <f>VLOOKUP(Таблица13[[#This Row],[оборудование]],Таблица_Регистрация_2012_год.accdb[[РВЗ]:[Дата]],3,FALSE)</f>
        <v>45680</v>
      </c>
      <c r="AU8" s="109">
        <f>VLOOKUP(Таблица13[[#This Row],[оборудование2]],Таблица_Регистрация_2012_год.accdb[[РВЗ]:[Дата]],3,FALSE)</f>
        <v>45680</v>
      </c>
      <c r="AV8" s="109">
        <f>VLOOKUP(Таблица13[[#This Row],[оборудование4]],Таблица_Регистрация_2012_год.accdb[[РВЗ]:[Дата]],3,FALSE)</f>
        <v>45680</v>
      </c>
      <c r="AW8" s="109" t="e">
        <f>VLOOKUP(Таблица13[[#This Row],[оборудование6]],Таблица_Регистрация_2012_год.accdb[[РВЗ]:[Дата]],3,FALSE)</f>
        <v>#N/A</v>
      </c>
      <c r="AX8" s="109">
        <f>VLOOKUP(Таблица13[[#This Row],[оборудование8]],Таблица_Регистрация_2012_год.accdb[[РВЗ]:[Дата]],3,FALSE)</f>
        <v>45680</v>
      </c>
      <c r="AY8" s="109" t="e">
        <f>VLOOKUP(Таблица13[[#This Row],[оборудование10]],Таблица_Регистрация_2012_год.accdb[[РВЗ]:[Дата]],3,FALSE)</f>
        <v>#N/A</v>
      </c>
      <c r="AZ8" s="109" t="e">
        <f>VLOOKUP(Таблица13[[#This Row],[оборудование12]],Таблица_Регистрация_2012_год.accdb[[РВЗ]:[Дата]],3,FALSE)</f>
        <v>#N/A</v>
      </c>
      <c r="BA8" s="109" t="e">
        <f>VLOOKUP(Таблица13[[#This Row],[оборудование14]],Таблица_Регистрация_2012_год.accdb[[РВЗ]:[Дата]],3,FALSE)</f>
        <v>#N/A</v>
      </c>
      <c r="BB8" s="109" t="e">
        <f>VLOOKUP(Таблица13[[#This Row],[оборудование16]],Таблица_Регистрация_2012_год.accdb[[РВЗ]:[Дата]],3,FALSE)</f>
        <v>#N/A</v>
      </c>
      <c r="BC8" s="109" t="e">
        <f>VLOOKUP(Таблица13[[#This Row],[оборудование18]],Таблица_Регистрация_2012_год.accdb[[РВЗ]:[Дата]],3,FALSE)</f>
        <v>#N/A</v>
      </c>
      <c r="BE8">
        <f>BE4*Прайсы!EU4</f>
        <v>2384</v>
      </c>
      <c r="BF8">
        <f>BF4*Прайсы!EO4</f>
        <v>17584</v>
      </c>
      <c r="BG8">
        <f>BG4*Прайсы!EO4</f>
        <v>17584</v>
      </c>
    </row>
    <row r="9" spans="1:60">
      <c r="B9" s="50" t="str">
        <f>IF('КСО-204'!D24="","",'КСО-204'!D24)</f>
        <v>Меркурий 234 АRTM(Х)2-00 (D)PBR.G</v>
      </c>
      <c r="C9" s="48">
        <f>IFERROR(VLOOKUP(B9,Прайсы!$CX$3:$CZ$75,3,FALSE),0)</f>
        <v>17540</v>
      </c>
      <c r="D9" s="50" t="str">
        <f>IF('КСО-204'!E24="","",'КСО-204'!E24)</f>
        <v>Меркурий 234 АRTM(Х)2-00 (D)PBR.G</v>
      </c>
      <c r="E9" s="48">
        <f>IFERROR(VLOOKUP(D9,Прайсы!$CX$3:$CZ$75,3,FALSE),0)</f>
        <v>17540</v>
      </c>
      <c r="F9" s="50" t="str">
        <f>IF('КСО-204'!F24="","",'КСО-204'!F24)</f>
        <v>Меркурий 234 АRTM(Х)2-00 (D)PBR.G</v>
      </c>
      <c r="G9" s="48">
        <f>IFERROR(VLOOKUP(F9,Прайсы!$CX$3:$CZ$75,3,FALSE),0)</f>
        <v>17540</v>
      </c>
      <c r="H9" s="50" t="str">
        <f>IF('КСО-204'!G24="","",'КСО-204'!G24)</f>
        <v/>
      </c>
      <c r="I9" s="48">
        <f>IFERROR(VLOOKUP(H9,Прайсы!$CX$3:$CZ$75,3,FALSE),0)</f>
        <v>0</v>
      </c>
      <c r="J9" s="50" t="str">
        <f>IF('КСО-204'!H24="","",'КСО-204'!H24)</f>
        <v/>
      </c>
      <c r="K9" s="48">
        <f>IFERROR(VLOOKUP(J9,Прайсы!$CX$3:$CZ$75,3,FALSE),0)</f>
        <v>0</v>
      </c>
      <c r="L9" s="50" t="str">
        <f>IF('КСО-204'!I24="","",'КСО-204'!I24)</f>
        <v/>
      </c>
      <c r="M9" s="48">
        <f>IFERROR(VLOOKUP(L9,Прайсы!$CX$3:$CZ$75,3,FALSE),0)</f>
        <v>0</v>
      </c>
      <c r="N9" s="50" t="str">
        <f>IF('КСО-204'!J24="","",'КСО-204'!J24)</f>
        <v/>
      </c>
      <c r="O9" s="48">
        <f>IFERROR(VLOOKUP(N9,Прайсы!$CX$3:$CZ$75,3,FALSE),0)</f>
        <v>0</v>
      </c>
      <c r="P9" s="50" t="str">
        <f>IF('КСО-204'!K24="","",'КСО-204'!K24)</f>
        <v/>
      </c>
      <c r="Q9" s="48">
        <f>IFERROR(VLOOKUP(P9,Прайсы!$CX$3:$CZ$75,3,FALSE),0)</f>
        <v>0</v>
      </c>
      <c r="R9" s="50" t="str">
        <f>IF('КСО-204'!L24="","",'КСО-204'!L24)</f>
        <v/>
      </c>
      <c r="S9" s="48">
        <f>IFERROR(VLOOKUP(R9,Прайсы!$CX$3:$CZ$75,3,FALSE),0)</f>
        <v>0</v>
      </c>
      <c r="T9" s="50" t="str">
        <f>IF('КСО-204'!M24="","",'КСО-204'!M24)</f>
        <v/>
      </c>
      <c r="U9" s="48">
        <f>IFERROR(VLOOKUP(T9,Прайсы!$CX$3:$CZ$75,3,FALSE),0)</f>
        <v>0</v>
      </c>
      <c r="AT9" s="109">
        <f>VLOOKUP(Таблица13[[#This Row],[оборудование]],Таблица_Регистрация_2012_год.accdb_13[[счетчик]:[дата]],4,FALSE)</f>
        <v>45406</v>
      </c>
      <c r="AU9" s="109">
        <f>VLOOKUP(Таблица13[[#This Row],[оборудование2]],Таблица_Регистрация_2012_год.accdb_13[[счетчик]:[дата]],4,FALSE)</f>
        <v>45406</v>
      </c>
      <c r="AV9" s="109">
        <f>VLOOKUP(Таблица13[[#This Row],[оборудование4]],Таблица_Регистрация_2012_год.accdb_13[[счетчик]:[дата]],4,FALSE)</f>
        <v>45406</v>
      </c>
      <c r="AW9" s="109" t="e">
        <f>VLOOKUP(Таблица13[[#This Row],[оборудование6]],Таблица_Регистрация_2012_год.accdb_13[[счетчик]:[дата]],4,FALSE)</f>
        <v>#N/A</v>
      </c>
      <c r="AX9" s="109" t="e">
        <f>VLOOKUP(Таблица13[[#This Row],[оборудование8]],Таблица_Регистрация_2012_год.accdb_13[[счетчик]:[дата]],4,FALSE)</f>
        <v>#N/A</v>
      </c>
      <c r="AY9" s="109" t="e">
        <f>VLOOKUP(Таблица13[[#This Row],[оборудование10]],Таблица_Регистрация_2012_год.accdb_13[[счетчик]:[дата]],4,FALSE)</f>
        <v>#N/A</v>
      </c>
      <c r="AZ9" s="109" t="e">
        <f>VLOOKUP(Таблица13[[#This Row],[оборудование12]],Таблица_Регистрация_2012_год.accdb_13[[счетчик]:[дата]],4,FALSE)</f>
        <v>#N/A</v>
      </c>
      <c r="BA9" s="109" t="e">
        <f>VLOOKUP(Таблица13[[#This Row],[оборудование14]],Таблица_Регистрация_2012_год.accdb_13[[счетчик]:[дата]],4,FALSE)</f>
        <v>#N/A</v>
      </c>
      <c r="BB9" s="109" t="e">
        <f>VLOOKUP(Таблица13[[#This Row],[оборудование16]],Таблица_Регистрация_2012_год.accdb_13[[счетчик]:[дата]],4,FALSE)</f>
        <v>#N/A</v>
      </c>
      <c r="BC9" s="109" t="e">
        <f>VLOOKUP(Таблица13[[#This Row],[оборудование18]],Таблица_Регистрация_2012_год.accdb_13[[счетчик]:[дата]],4,FALSE)</f>
        <v>#N/A</v>
      </c>
      <c r="BE9">
        <f>BE5*Прайсы!EU5</f>
        <v>5121</v>
      </c>
      <c r="BF9">
        <f>BF5*Прайсы!EO5</f>
        <v>35604</v>
      </c>
      <c r="BG9">
        <f>BG5*Прайсы!EO5</f>
        <v>71208</v>
      </c>
    </row>
    <row r="10" spans="1:60" ht="13.5" thickBot="1">
      <c r="B10" s="50" t="str">
        <f>IF('КСО-204'!D25="","",'КСО-204'!D25)</f>
        <v/>
      </c>
      <c r="C10" s="48">
        <f>IFERROR(VLOOKUP(B10,Прайсы!$AG$3:$AH$21,2,FALSE),0)</f>
        <v>0</v>
      </c>
      <c r="D10" s="50" t="str">
        <f>IF('КСО-204'!E25="","",'КСО-204'!E25)</f>
        <v/>
      </c>
      <c r="E10" s="48">
        <f>IFERROR(VLOOKUP(D10,Прайсы!$AG$3:$AH$21,2,FALSE),0)</f>
        <v>0</v>
      </c>
      <c r="F10" s="50" t="str">
        <f>IF('КСО-204'!F25="","",'КСО-204'!F25)</f>
        <v/>
      </c>
      <c r="G10" s="48">
        <f>IFERROR(VLOOKUP(F10,Прайсы!$AG$3:$AH$21,2,FALSE),0)</f>
        <v>0</v>
      </c>
      <c r="H10" s="50" t="str">
        <f>IF('КСО-204'!G25="","",'КСО-204'!G25)</f>
        <v/>
      </c>
      <c r="I10" s="48">
        <f>IFERROR(VLOOKUP(H10,Прайсы!$AG$3:$AH$21,2,FALSE),0)</f>
        <v>0</v>
      </c>
      <c r="J10" s="50" t="str">
        <f>IF('КСО-204'!H25="","",'КСО-204'!H25)</f>
        <v>НАМИТ-6</v>
      </c>
      <c r="K10" s="48">
        <f>IFERROR(VLOOKUP(J10,Прайсы!$AG$3:$AH$21,2,FALSE),0)</f>
      </c>
      <c r="L10" s="50" t="str">
        <f>IF('КСО-204'!I25="","",'КСО-204'!I25)</f>
        <v/>
      </c>
      <c r="M10" s="48">
        <f>IFERROR(VLOOKUP(L10,Прайсы!$AG$3:$AH$21,2,FALSE),0)</f>
        <v>0</v>
      </c>
      <c r="N10" s="50" t="str">
        <f>IF('КСО-204'!J25="","",'КСО-204'!J25)</f>
        <v/>
      </c>
      <c r="O10" s="48">
        <f>IFERROR(VLOOKUP(N10,Прайсы!$AG$3:$AH$21,2,FALSE),0)</f>
        <v>0</v>
      </c>
      <c r="P10" s="50" t="str">
        <f>IF('КСО-204'!K25="","",'КСО-204'!K25)</f>
        <v/>
      </c>
      <c r="Q10" s="48">
        <f>IFERROR(VLOOKUP(P10,Прайсы!$AG$3:$AH$21,2,FALSE),0)</f>
        <v>0</v>
      </c>
      <c r="R10" s="50" t="str">
        <f>IF('КСО-204'!L25="","",'КСО-204'!L25)</f>
        <v/>
      </c>
      <c r="S10" s="48">
        <f>IFERROR(VLOOKUP(R10,Прайсы!$AG$3:$AH$21,2,FALSE),0)</f>
        <v>0</v>
      </c>
      <c r="T10" s="50" t="str">
        <f>IF('КСО-204'!M25="","",'КСО-204'!M25)</f>
        <v/>
      </c>
      <c r="U10" s="48">
        <f>IFERROR(VLOOKUP(T10,Прайсы!$AG$3:$AH$21,2,FALSE),0)</f>
        <v>0</v>
      </c>
      <c r="W10" t="s">
        <v>84</v>
      </c>
      <c r="X10">
        <f>IF(B10&lt;&gt;"",1,0)</f>
        <v>0</v>
      </c>
      <c r="Y10">
        <f>IF(D10&lt;&gt;"",1,0)</f>
        <v>0</v>
      </c>
      <c r="Z10">
        <f>IF(F10&lt;&gt;"",1,0)</f>
        <v>0</v>
      </c>
      <c r="AA10">
        <f>IF(H10&lt;&gt;"",1,0)</f>
        <v>0</v>
      </c>
      <c r="AB10">
        <f>IF(J10&lt;&gt;"",1,0)</f>
        <v>1</v>
      </c>
      <c r="AC10">
        <f>IF(L10&lt;&gt;"",1,0)</f>
        <v>0</v>
      </c>
      <c r="AD10">
        <f>IF(N10&lt;&gt;"",1,0)</f>
        <v>0</v>
      </c>
      <c r="AE10">
        <f>IF(P10&lt;&gt;"",1,0)</f>
        <v>0</v>
      </c>
      <c r="AF10">
        <f>IF(R10&lt;&gt;"",1,0)</f>
        <v>0</v>
      </c>
      <c r="AG10">
        <f>IF(T10&lt;&gt;"",1,0)</f>
        <v>0</v>
      </c>
      <c r="AT10" s="109" t="e">
        <f>VLOOKUP(Таблица13[[#This Row],[оборудование]],Таблица_Регистрация_2012_год.accdb_8[[ТН]:[Дата]],3,FALSE)</f>
        <v>#N/A</v>
      </c>
      <c r="AU10" s="109" t="e">
        <f>VLOOKUP(Таблица13[[#This Row],[оборудование2]],Таблица_Регистрация_2012_год.accdb_8[[ТН]:[Дата]],3,FALSE)</f>
        <v>#N/A</v>
      </c>
      <c r="AV10" s="109" t="e">
        <f>VLOOKUP(Таблица13[[#This Row],[оборудование4]],Таблица_Регистрация_2012_год.accdb_8[[ТН]:[Дата]],3,FALSE)</f>
        <v>#N/A</v>
      </c>
      <c r="AW10" s="109" t="e">
        <f>VLOOKUP(Таблица13[[#This Row],[оборудование6]],Таблица_Регистрация_2012_год.accdb_8[[ТН]:[Дата]],3,FALSE)</f>
        <v>#N/A</v>
      </c>
      <c r="AX10" s="109">
        <f>VLOOKUP(Таблица13[[#This Row],[оборудование8]],Таблица_Регистрация_2012_год.accdb_8[[ТН]:[Дата]],3,FALSE)</f>
        <v>42075</v>
      </c>
      <c r="AY10" s="109" t="e">
        <f>VLOOKUP(Таблица13[[#This Row],[оборудование10]],Таблица_Регистрация_2012_год.accdb_8[[ТН]:[Дата]],3,FALSE)</f>
        <v>#N/A</v>
      </c>
      <c r="AZ10" s="109" t="e">
        <f>VLOOKUP(Таблица13[[#This Row],[оборудование12]],Таблица_Регистрация_2012_год.accdb_8[[ТН]:[Дата]],3,FALSE)</f>
        <v>#N/A</v>
      </c>
      <c r="BA10" s="109" t="e">
        <f>VLOOKUP(Таблица13[[#This Row],[оборудование14]],Таблица_Регистрация_2012_год.accdb_8[[ТН]:[Дата]],3,FALSE)</f>
        <v>#N/A</v>
      </c>
      <c r="BB10" s="109" t="e">
        <f>VLOOKUP(Таблица13[[#This Row],[оборудование16]],Таблица_Регистрация_2012_год.accdb_8[[ТН]:[Дата]],3,FALSE)</f>
        <v>#N/A</v>
      </c>
      <c r="BC10" s="109" t="e">
        <f>VLOOKUP(Таблица13[[#This Row],[оборудование18]],Таблица_Регистрация_2012_год.accdb_8[[ТН]:[Дата]],3,FALSE)</f>
        <v>#N/A</v>
      </c>
    </row>
    <row r="11" spans="1:60" ht="13.5" thickBot="1">
      <c r="B11" s="50" t="str">
        <f>IF('КСО-204'!D26="","",'КСО-204'!D26)</f>
        <v/>
      </c>
      <c r="C11" s="48">
        <f>IFERROR(VLOOKUP(B11,Прайсы!$BH$3:$BI$15,2,FALSE),0)</f>
        <v>0</v>
      </c>
      <c r="D11" s="50" t="str">
        <f>IF('КСО-204'!E26="","",'КСО-204'!E26)</f>
        <v/>
      </c>
      <c r="E11" s="48">
        <f>IFERROR(VLOOKUP(D11,Прайсы!$BH$3:$BI$15,2,FALSE),0)</f>
        <v>0</v>
      </c>
      <c r="F11" s="50" t="str">
        <f>IF('КСО-204'!F26="","",'КСО-204'!F26)</f>
        <v/>
      </c>
      <c r="G11" s="48">
        <f>IFERROR(VLOOKUP(F11,Прайсы!$BH$3:$BI$15,2,FALSE),0)</f>
        <v>0</v>
      </c>
      <c r="H11" s="50" t="str">
        <f>IF('КСО-204'!G26="","",'КСО-204'!G26)</f>
        <v>ТЛС-25</v>
      </c>
      <c r="I11" s="48">
        <f>IFERROR(VLOOKUP(H11,Прайсы!$BH$3:$BI$15,2,FALSE),0)</f>
        <v>214000</v>
      </c>
      <c r="J11" s="50" t="str">
        <f>IF('КСО-204'!H26="","",'КСО-204'!H26)</f>
        <v/>
      </c>
      <c r="K11" s="48">
        <f>IFERROR(VLOOKUP(J11,Прайсы!$BH$3:$BI$15,2,FALSE),0)</f>
        <v>0</v>
      </c>
      <c r="L11" s="50" t="str">
        <f>IF('КСО-204'!I26="","",'КСО-204'!I26)</f>
        <v/>
      </c>
      <c r="M11" s="48">
        <f>IFERROR(VLOOKUP(L11,Прайсы!$BH$3:$BI$15,2,FALSE),0)</f>
        <v>0</v>
      </c>
      <c r="N11" s="50" t="str">
        <f>IF('КСО-204'!J26="","",'КСО-204'!J26)</f>
        <v/>
      </c>
      <c r="O11" s="48">
        <f>IFERROR(VLOOKUP(N11,Прайсы!$BH$3:$BI$15,2,FALSE),0)</f>
        <v>0</v>
      </c>
      <c r="P11" s="50" t="str">
        <f>IF('КСО-204'!K26="","",'КСО-204'!K26)</f>
        <v/>
      </c>
      <c r="Q11" s="48">
        <f>IFERROR(VLOOKUP(P11,Прайсы!$BH$3:$BI$15,2,FALSE),0)</f>
        <v>0</v>
      </c>
      <c r="R11" s="50" t="str">
        <f>IF('КСО-204'!L26="","",'КСО-204'!L26)</f>
        <v/>
      </c>
      <c r="S11" s="48">
        <f>IFERROR(VLOOKUP(R11,Прайсы!$BH$3:$BI$15,2,FALSE),0)</f>
        <v>0</v>
      </c>
      <c r="T11" s="50" t="str">
        <f>IF('КСО-204'!M26="","",'КСО-204'!M26)</f>
        <v/>
      </c>
      <c r="U11" s="48">
        <f>IFERROR(VLOOKUP(T11,Прайсы!$BH$3:$BI$15,2,FALSE),0)</f>
        <v>0</v>
      </c>
      <c r="W11" t="s">
        <v>83</v>
      </c>
      <c r="X11">
        <f>IF(B11&lt;&gt;"",1,0)</f>
        <v>0</v>
      </c>
      <c r="Y11">
        <f>IF(D11&lt;&gt;"",1,0)</f>
        <v>0</v>
      </c>
      <c r="Z11">
        <f>IF(F11&lt;&gt;"",1,0)</f>
        <v>0</v>
      </c>
      <c r="AA11">
        <f>IF(H11&lt;&gt;"",1,0)</f>
        <v>1</v>
      </c>
      <c r="AB11">
        <f>IF(J11&lt;&gt;"",1,0)</f>
        <v>0</v>
      </c>
      <c r="AC11">
        <f>IF(L11&lt;&gt;"",1,0)</f>
        <v>0</v>
      </c>
      <c r="AD11">
        <f>IF(N11&lt;&gt;"",1,0)</f>
        <v>0</v>
      </c>
      <c r="AE11">
        <f>IF(P11&lt;&gt;"",1,0)</f>
        <v>0</v>
      </c>
      <c r="AF11">
        <f>IF(R11&lt;&gt;"",1,0)</f>
        <v>0</v>
      </c>
      <c r="AG11">
        <f>IF(T11&lt;&gt;"",1,0)</f>
        <v>0</v>
      </c>
      <c r="AT11" s="109" t="e">
        <f>VLOOKUP(Таблица13[[#This Row],[оборудование]],Таблица_Регистрация_2012_год.accdb_7[[ТСН]:[Дата]],3,FALSE)</f>
        <v>#N/A</v>
      </c>
      <c r="AU11" s="109" t="e">
        <f>VLOOKUP(Таблица13[[#This Row],[оборудование2]],Таблица_Регистрация_2012_год.accdb_7[[ТСН]:[Дата]],3,FALSE)</f>
        <v>#N/A</v>
      </c>
      <c r="AV11" s="109" t="e">
        <f>VLOOKUP(Таблица13[[#This Row],[оборудование4]],Таблица_Регистрация_2012_год.accdb_7[[ТСН]:[Дата]],3,FALSE)</f>
        <v>#N/A</v>
      </c>
      <c r="AW11" s="109">
        <f>VLOOKUP(Таблица13[[#This Row],[оборудование6]],Таблица_Регистрация_2012_год.accdb_7[[ТСН]:[Дата]],3,FALSE)</f>
        <v>45604</v>
      </c>
      <c r="AX11" s="109" t="e">
        <f>VLOOKUP(Таблица13[[#This Row],[оборудование8]],Таблица_Регистрация_2012_год.accdb_7[[ТСН]:[Дата]],3,FALSE)</f>
        <v>#N/A</v>
      </c>
      <c r="AY11" s="109" t="e">
        <f>VLOOKUP(Таблица13[[#This Row],[оборудование10]],Таблица_Регистрация_2012_год.accdb_7[[ТСН]:[Дата]],3,FALSE)</f>
        <v>#N/A</v>
      </c>
      <c r="AZ11" s="109" t="e">
        <f>VLOOKUP(Таблица13[[#This Row],[оборудование12]],Таблица_Регистрация_2012_год.accdb_7[[ТСН]:[Дата]],3,FALSE)</f>
        <v>#N/A</v>
      </c>
      <c r="BA11" s="109" t="e">
        <f>VLOOKUP(Таблица13[[#This Row],[оборудование14]],Таблица_Регистрация_2012_год.accdb_7[[ТСН]:[Дата]],3,FALSE)</f>
        <v>#N/A</v>
      </c>
      <c r="BB11" s="109" t="e">
        <f>VLOOKUP(Таблица13[[#This Row],[оборудование16]],Таблица_Регистрация_2012_год.accdb_7[[ТСН]:[Дата]],3,FALSE)</f>
        <v>#N/A</v>
      </c>
      <c r="BC11" s="109" t="e">
        <f>VLOOKUP(Таблица13[[#This Row],[оборудование18]],Таблица_Регистрация_2012_год.accdb_7[[ТСН]:[Дата]],3,FALSE)</f>
        <v>#N/A</v>
      </c>
      <c r="BE11" s="118">
        <f>SUM(BE7:BE9)</f>
        <v>7693</v>
      </c>
      <c r="BF11" s="119">
        <f>SUM(BF7:BF9)</f>
        <v>54507</v>
      </c>
      <c r="BG11" s="120">
        <f>SUM(BG7:BG9)</f>
        <v>90111</v>
      </c>
    </row>
    <row r="12" spans="1:60">
      <c r="A12" t="s">
        <v>94</v>
      </c>
      <c r="B12" s="50" t="str">
        <f>IF('КСО-204'!D27="","",'КСО-204'!D27)</f>
        <v/>
      </c>
      <c r="C12" s="48">
        <f>IFERROR(VLOOKUP(B12,Прайсы!$DF$3:$DI$4,4,FALSE),0)</f>
        <v>0</v>
      </c>
      <c r="D12" s="50" t="str">
        <f>IF('КСО-204'!E27="","",'КСО-204'!E27)</f>
        <v/>
      </c>
      <c r="E12" s="48">
        <f>IFERROR(VLOOKUP(D12,Прайсы!$DF$3:$DI$4,4,FALSE),0)</f>
        <v>0</v>
      </c>
      <c r="F12" s="50" t="str">
        <f>IF('КСО-204'!F27="","",'КСО-204'!F27)</f>
        <v/>
      </c>
      <c r="G12" s="48">
        <f>IFERROR(VLOOKUP(F12,Прайсы!$DF$3:$DI$4,4,FALSE),0)</f>
        <v>0</v>
      </c>
      <c r="H12" s="50" t="str">
        <f>IF('КСО-204'!G27="","",'КСО-204'!G27)</f>
        <v>3хПатрон ПТ</v>
      </c>
      <c r="I12" s="48">
        <f>IFERROR(VLOOKUP(H12,Прайсы!$DF$3:$DI$4,4,FALSE),0)</f>
        <v>3030</v>
      </c>
      <c r="J12" s="50" t="str">
        <f>IF('КСО-204'!H27="","",'КСО-204'!H27)</f>
        <v/>
      </c>
      <c r="K12" s="48">
        <f>IFERROR(VLOOKUP(J12,Прайсы!$DF$3:$DI$4,4,FALSE),0)</f>
        <v>0</v>
      </c>
      <c r="L12" s="50" t="str">
        <f>IF('КСО-204'!I27="","",'КСО-204'!I27)</f>
        <v/>
      </c>
      <c r="M12" s="48">
        <f>IFERROR(VLOOKUP(L12,Прайсы!$DF$3:$DI$4,4,FALSE),0)</f>
        <v>0</v>
      </c>
      <c r="N12" s="50" t="str">
        <f>IF('КСО-204'!J27="","",'КСО-204'!J27)</f>
        <v/>
      </c>
      <c r="O12" s="48">
        <f>IFERROR(VLOOKUP(N12,Прайсы!$DF$3:$DI$4,4,FALSE),0)</f>
        <v>0</v>
      </c>
      <c r="P12" s="50" t="str">
        <f>IF('КСО-204'!K27="","",'КСО-204'!K27)</f>
        <v/>
      </c>
      <c r="Q12" s="48">
        <f>IFERROR(VLOOKUP(P12,Прайсы!$DF$3:$DI$4,4,FALSE),0)</f>
        <v>0</v>
      </c>
      <c r="R12" s="50" t="str">
        <f>IF('КСО-204'!L27="","",'КСО-204'!L27)</f>
        <v/>
      </c>
      <c r="S12" s="48">
        <f>IFERROR(VLOOKUP(R12,Прайсы!$DF$3:$DI$4,4,FALSE),0)</f>
        <v>0</v>
      </c>
      <c r="T12" s="50" t="str">
        <f>IF('КСО-204'!M27="","",'КСО-204'!M27)</f>
        <v/>
      </c>
      <c r="U12" s="48">
        <f>IFERROR(VLOOKUP(T12,Прайсы!$DF$3:$DI$4,4,FALSE),0)</f>
        <v>0</v>
      </c>
      <c r="W12" t="s">
        <v>92</v>
      </c>
      <c r="X12">
        <f>IF(B12&lt;&gt;"",1,0)</f>
        <v>0</v>
      </c>
      <c r="Y12">
        <f>IF(D12&lt;&gt;"",1,0)</f>
        <v>0</v>
      </c>
      <c r="Z12">
        <f>IF(F12&lt;&gt;"",1,0)</f>
        <v>0</v>
      </c>
      <c r="AA12">
        <f>IF(H12&lt;&gt;"",1,0)</f>
        <v>1</v>
      </c>
      <c r="AB12">
        <f>IF(J12&lt;&gt;"",1,0)</f>
        <v>0</v>
      </c>
      <c r="AC12">
        <f>IF(L12&lt;&gt;"",1,0)</f>
        <v>0</v>
      </c>
      <c r="AD12">
        <f>IF(N12&lt;&gt;"",1,0)</f>
        <v>0</v>
      </c>
      <c r="AE12">
        <f>IF(P12&lt;&gt;"",1,0)</f>
        <v>0</v>
      </c>
      <c r="AF12">
        <f>IF(R12&lt;&gt;"",1,0)</f>
        <v>0</v>
      </c>
      <c r="AG12">
        <f>IF(T12&lt;&gt;"",1,0)</f>
        <v>0</v>
      </c>
      <c r="AT12" s="109" t="e">
        <f>VLOOKUP(Таблица13[[#This Row],[оборудование]],Таблица_Регистрация_2012_год.accdb_14[[ПТ]:[дата]],5,FALSE)</f>
        <v>#N/A</v>
      </c>
      <c r="AU12" s="109" t="e">
        <f>VLOOKUP(Таблица13[[#This Row],[оборудование2]],Таблица_Регистрация_2012_год.accdb_14[[ПТ]:[дата]],5,FALSE)</f>
        <v>#N/A</v>
      </c>
      <c r="AV12" s="109" t="e">
        <f>VLOOKUP(Таблица13[[#This Row],[оборудование4]],Таблица_Регистрация_2012_год.accdb_14[[ПТ]:[дата]],5,FALSE)</f>
        <v>#N/A</v>
      </c>
      <c r="AW12" s="109">
        <f>VLOOKUP(Таблица13[[#This Row],[оборудование6]],Таблица_Регистрация_2012_год.accdb_14[[ПТ]:[дата]],5,FALSE)</f>
        <v>44638</v>
      </c>
      <c r="AX12" s="109" t="e">
        <f>VLOOKUP(Таблица13[[#This Row],[оборудование8]],Таблица_Регистрация_2012_год.accdb_14[[ПТ]:[дата]],5,FALSE)</f>
        <v>#N/A</v>
      </c>
      <c r="AY12" s="109" t="e">
        <f>VLOOKUP(Таблица13[[#This Row],[оборудование10]],Таблица_Регистрация_2012_год.accdb_14[[ПТ]:[дата]],5,FALSE)</f>
        <v>#N/A</v>
      </c>
      <c r="AZ12" s="109" t="e">
        <f>VLOOKUP(Таблица13[[#This Row],[оборудование12]],Таблица_Регистрация_2012_год.accdb_14[[ПТ]:[дата]],5,FALSE)</f>
        <v>#N/A</v>
      </c>
      <c r="BA12" s="109" t="e">
        <f>VLOOKUP(Таблица13[[#This Row],[оборудование14]],Таблица_Регистрация_2012_год.accdb_14[[ПТ]:[дата]],5,FALSE)</f>
        <v>#N/A</v>
      </c>
      <c r="BB12" s="109" t="e">
        <f>VLOOKUP(Таблица13[[#This Row],[оборудование16]],Таблица_Регистрация_2012_год.accdb_14[[ПТ]:[дата]],5,FALSE)</f>
        <v>#N/A</v>
      </c>
      <c r="BC12" s="109" t="e">
        <f>VLOOKUP(Таблица13[[#This Row],[оборудование18]],Таблица_Регистрация_2012_год.accdb_14[[ПТ]:[дата]],5,FALSE)</f>
        <v>#N/A</v>
      </c>
    </row>
    <row r="13" spans="1:60">
      <c r="B13" s="50" t="str">
        <f>IF('КСО-204'!D28="","",'КСО-204'!D28)</f>
        <v/>
      </c>
      <c r="C13" s="48">
        <f>IFERROR(3*VLOOKUP(B13,Прайсы!$AQ$3:$AR$19,2,FALSE),0)</f>
        <v>0</v>
      </c>
      <c r="D13" s="50" t="str">
        <f>IF('КСО-204'!E28="","",'КСО-204'!E28)</f>
        <v/>
      </c>
      <c r="E13" s="48">
        <f>IFERROR(3*VLOOKUP(D13,Прайсы!$AQ$3:$AR$19,2,FALSE),0)</f>
        <v>0</v>
      </c>
      <c r="F13" s="50" t="str">
        <f>IF('КСО-204'!F28="","",'КСО-204'!F28)</f>
        <v>ОПН-П-6/7.2/10/550</v>
      </c>
      <c r="G13" s="48">
        <f>IFERROR(3*VLOOKUP(F13,Прайсы!$AQ$3:$AR$19,2,FALSE),0)</f>
        <v>5700</v>
      </c>
      <c r="H13" s="50" t="str">
        <f>IF('КСО-204'!G28="","",'КСО-204'!G28)</f>
        <v/>
      </c>
      <c r="I13" s="48">
        <f>IFERROR(3*VLOOKUP(H13,Прайсы!$AQ$3:$AR$19,2,FALSE),0)</f>
        <v>0</v>
      </c>
      <c r="J13" s="50" t="str">
        <f>IF('КСО-204'!H28="","",'КСО-204'!H28)</f>
        <v>ОПН-П-6/7.2/10/550</v>
      </c>
      <c r="K13" s="48">
        <f>IFERROR(3*VLOOKUP(J13,Прайсы!$AQ$3:$AR$19,2,FALSE),0)</f>
        <v>5700</v>
      </c>
      <c r="L13" s="50" t="str">
        <f>IF('КСО-204'!I28="","",'КСО-204'!I28)</f>
        <v/>
      </c>
      <c r="M13" s="48">
        <f>IFERROR(3*VLOOKUP(L13,Прайсы!$AQ$3:$AR$19,2,FALSE),0)</f>
        <v>0</v>
      </c>
      <c r="N13" s="50" t="str">
        <f>IF('КСО-204'!J28="","",'КСО-204'!J28)</f>
        <v/>
      </c>
      <c r="O13" s="48">
        <f>IFERROR(3*VLOOKUP(N13,Прайсы!$AQ$3:$AR$19,2,FALSE),0)</f>
        <v>0</v>
      </c>
      <c r="P13" s="50" t="str">
        <f>IF('КСО-204'!K28="","",'КСО-204'!K28)</f>
        <v/>
      </c>
      <c r="Q13" s="48">
        <f>IFERROR(3*VLOOKUP(P13,Прайсы!$AQ$3:$AR$19,2,FALSE),0)</f>
        <v>0</v>
      </c>
      <c r="R13" s="50" t="str">
        <f>IF('КСО-204'!L28="","",'КСО-204'!L28)</f>
        <v/>
      </c>
      <c r="S13" s="48">
        <f>IFERROR(3*VLOOKUP(R13,Прайсы!$AQ$3:$AR$19,2,FALSE),0)</f>
        <v>0</v>
      </c>
      <c r="T13" s="50" t="str">
        <f>IF('КСО-204'!M28="","",'КСО-204'!M28)</f>
        <v/>
      </c>
      <c r="U13" s="48">
        <f>IFERROR(3*VLOOKUP(T13,Прайсы!$AQ$3:$AR$19,2,FALSE),0)</f>
        <v>0</v>
      </c>
      <c r="W13" t="s">
        <v>82</v>
      </c>
      <c r="X13">
        <f>IF(B13&lt;&gt;"",1,0)</f>
        <v>0</v>
      </c>
      <c r="Y13">
        <f>IF(D13&lt;&gt;"",1,0)</f>
        <v>0</v>
      </c>
      <c r="Z13">
        <f>IF(F13&lt;&gt;"",1,0)</f>
        <v>1</v>
      </c>
      <c r="AA13">
        <f>IF(H13&lt;&gt;"",1,0)</f>
        <v>0</v>
      </c>
      <c r="AB13">
        <f>IF(J13&lt;&gt;"",1,0)</f>
        <v>1</v>
      </c>
      <c r="AC13">
        <f>IF(L13&lt;&gt;"",1,0)</f>
        <v>0</v>
      </c>
      <c r="AD13">
        <f>IF(N13&lt;&gt;"",1,0)</f>
        <v>0</v>
      </c>
      <c r="AE13">
        <f>IF(P13&lt;&gt;"",1,0)</f>
        <v>0</v>
      </c>
      <c r="AF13">
        <f>IF(R13&lt;&gt;"",1,0)</f>
        <v>0</v>
      </c>
      <c r="AG13">
        <f>IF(T13&lt;&gt;"",1,0)</f>
        <v>0</v>
      </c>
      <c r="AT13" s="109" t="e">
        <f>VLOOKUP(Таблица13[[#This Row],[оборудование]],Таблица_Регистрация_2012_год.accdb_4[[ОПН]:[Дата]],3,FALSE)</f>
        <v>#N/A</v>
      </c>
      <c r="AU13" s="109" t="e">
        <f>VLOOKUP(Таблица13[[#This Row],[оборудование2]],Таблица_Регистрация_2012_год.accdb_4[[ОПН]:[Дата]],3,FALSE)</f>
        <v>#N/A</v>
      </c>
      <c r="AV13" s="109">
        <f>VLOOKUP(Таблица13[[#This Row],[оборудование4]],Таблица_Регистрация_2012_год.accdb_4[[ОПН]:[Дата]],3,FALSE)</f>
        <v>45693</v>
      </c>
      <c r="AW13" s="109" t="e">
        <f>VLOOKUP(Таблица13[[#This Row],[оборудование6]],Таблица_Регистрация_2012_год.accdb_4[[ОПН]:[Дата]],3,FALSE)</f>
        <v>#N/A</v>
      </c>
      <c r="AX13" s="109">
        <f>VLOOKUP(Таблица13[[#This Row],[оборудование8]],Таблица_Регистрация_2012_год.accdb_4[[ОПН]:[Дата]],3,FALSE)</f>
        <v>45693</v>
      </c>
      <c r="AY13" s="109" t="e">
        <f>VLOOKUP(Таблица13[[#This Row],[оборудование10]],Таблица_Регистрация_2012_год.accdb_4[[ОПН]:[Дата]],3,FALSE)</f>
        <v>#N/A</v>
      </c>
      <c r="AZ13" s="109" t="e">
        <f>VLOOKUP(Таблица13[[#This Row],[оборудование12]],Таблица_Регистрация_2012_год.accdb_4[[ОПН]:[Дата]],3,FALSE)</f>
        <v>#N/A</v>
      </c>
      <c r="BA13" s="109" t="e">
        <f>VLOOKUP(Таблица13[[#This Row],[оборудование14]],Таблица_Регистрация_2012_год.accdb_4[[ОПН]:[Дата]],3,FALSE)</f>
        <v>#N/A</v>
      </c>
      <c r="BB13" s="109" t="e">
        <f>VLOOKUP(Таблица13[[#This Row],[оборудование16]],Таблица_Регистрация_2012_год.accdb_4[[ОПН]:[Дата]],3,FALSE)</f>
        <v>#N/A</v>
      </c>
      <c r="BC13" s="109" t="e">
        <f>VLOOKUP(Таблица13[[#This Row],[оборудование18]],Таблица_Регистрация_2012_год.accdb_4[[ОПН]:[Дата]],3,FALSE)</f>
        <v>#N/A</v>
      </c>
    </row>
    <row r="14" spans="1:60">
      <c r="B14" s="50" t="str">
        <f>IF('КСО-204'!D29="","",'КСО-204'!D29)</f>
        <v/>
      </c>
      <c r="C14" s="48"/>
      <c r="D14" s="50" t="str">
        <f>IF('КСО-204'!E29="","",'КСО-204'!E29)</f>
        <v/>
      </c>
      <c r="E14" s="48"/>
      <c r="F14" s="50" t="str">
        <f>IF('КСО-204'!F29="","",'КСО-204'!F29)</f>
        <v/>
      </c>
      <c r="G14" s="48"/>
      <c r="H14" s="50" t="str">
        <f>IF('КСО-204'!G29="","",'КСО-204'!G29)</f>
        <v/>
      </c>
      <c r="I14" s="48"/>
      <c r="J14" s="50" t="str">
        <f>IF('КСО-204'!H29="","",'КСО-204'!H29)</f>
        <v/>
      </c>
      <c r="K14" s="48"/>
      <c r="L14" s="50" t="str">
        <f>IF('КСО-204'!I29="","",'КСО-204'!I29)</f>
        <v/>
      </c>
      <c r="M14" s="48"/>
      <c r="N14" s="50" t="str">
        <f>IF('КСО-204'!J29="","",'КСО-204'!J29)</f>
        <v/>
      </c>
      <c r="O14" s="48"/>
      <c r="P14" s="50" t="str">
        <f>IF('КСО-204'!K29="","",'КСО-204'!K29)</f>
        <v/>
      </c>
      <c r="Q14" s="48"/>
      <c r="R14" s="50" t="str">
        <f>IF('КСО-204'!L29="","",'КСО-204'!L29)</f>
        <v/>
      </c>
      <c r="S14" s="48"/>
      <c r="T14" s="50" t="str">
        <f>IF('КСО-204'!M29="","",'КСО-204'!M29)</f>
        <v/>
      </c>
      <c r="U14" s="48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</row>
    <row r="15" spans="1:60">
      <c r="B15" s="50" t="str">
        <f>IF('КСО-204'!D30="","",'КСО-204'!D30)</f>
        <v/>
      </c>
      <c r="C15" s="48"/>
      <c r="D15" s="50" t="str">
        <f>IF('КСО-204'!E30="","",'КСО-204'!E30)</f>
        <v/>
      </c>
      <c r="E15" s="48"/>
      <c r="F15" s="50" t="str">
        <f>IF('КСО-204'!F30="","",'КСО-204'!F30)</f>
        <v/>
      </c>
      <c r="G15" s="48"/>
      <c r="H15" s="50" t="str">
        <f>IF('КСО-204'!G30="","",'КСО-204'!G30)</f>
        <v/>
      </c>
      <c r="I15" s="48"/>
      <c r="J15" s="50" t="str">
        <f>IF('КСО-204'!H30="","",'КСО-204'!H30)</f>
        <v/>
      </c>
      <c r="K15" s="48"/>
      <c r="L15" s="50" t="str">
        <f>IF('КСО-204'!I30="","",'КСО-204'!I30)</f>
        <v/>
      </c>
      <c r="M15" s="48"/>
      <c r="N15" s="50" t="str">
        <f>IF('КСО-204'!J30="","",'КСО-204'!J30)</f>
        <v/>
      </c>
      <c r="O15" s="48"/>
      <c r="P15" s="50" t="str">
        <f>IF('КСО-204'!K30="","",'КСО-204'!K30)</f>
        <v/>
      </c>
      <c r="Q15" s="48"/>
      <c r="R15" s="50" t="str">
        <f>IF('КСО-204'!L30="","",'КСО-204'!L30)</f>
        <v/>
      </c>
      <c r="S15" s="48"/>
      <c r="T15" s="50" t="str">
        <f>IF('КСО-204'!M30="","",'КСО-204'!M30)</f>
        <v/>
      </c>
      <c r="U15" s="48"/>
      <c r="W15" t="s">
        <v>2</v>
      </c>
      <c r="X15" s="53" t="str">
        <f>Таблица13[[#Totals],[оборудование]]</f>
        <v>Линия</v>
      </c>
      <c r="Y15" s="53" t="str">
        <f>Таблица13[[#Totals],[оборудование2]]</f>
        <v>Линия</v>
      </c>
      <c r="Z15" s="53" t="str">
        <f>Таблица13[[#Totals],[оборудование4]]</f>
        <v>Ввод</v>
      </c>
      <c r="AA15" s="53" t="str">
        <f>Таблица13[[#Totals],[оборудование6]]</f>
        <v>ТСН</v>
      </c>
      <c r="AB15" s="53" t="str">
        <f>Таблица13[[#Totals],[оборудование8]]</f>
        <v>ТН</v>
      </c>
      <c r="AC15" s="53" t="str">
        <f>Таблица13[[#Totals],[оборудование10]]</f>
        <v>СВ</v>
      </c>
      <c r="AD15" s="53" t="str">
        <f>Таблица13[[#Totals],[оборудование12]]</f>
        <v>СР</v>
      </c>
      <c r="AE15" s="53" t="str">
        <f>Таблица13[[#Totals],[оборудование14]]</f>
        <v/>
      </c>
      <c r="AF15" s="53" t="str">
        <f>Таблица13[[#Totals],[оборудование16]]</f>
        <v/>
      </c>
      <c r="AG15" s="53" t="str">
        <f>Таблица13[[#Totals],[оборудование18]]</f>
        <v/>
      </c>
      <c r="AH15" s="53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</row>
    <row r="16" spans="1:60">
      <c r="B16" s="50" t="str">
        <f>IF('КСО-204'!D31="","",'КСО-204'!D31)</f>
        <v>ТЗЛМ-1</v>
      </c>
      <c r="C16" s="48">
        <f>IFERROR(VLOOKUP(B16,Прайсы!$W$3:$X$18,2,FALSE),0)</f>
        <v>3450</v>
      </c>
      <c r="D16" s="50" t="str">
        <f>IF('КСО-204'!E31="","",'КСО-204'!E31)</f>
        <v>ТЗЛМ-1</v>
      </c>
      <c r="E16" s="48">
        <f>IFERROR(VLOOKUP(D16,Прайсы!$W$3:$X$18,2,FALSE),0)</f>
        <v>3450</v>
      </c>
      <c r="F16" s="50" t="str">
        <f>IF('КСО-204'!F31="","",'КСО-204'!F31)</f>
        <v/>
      </c>
      <c r="G16" s="48">
        <f>IFERROR(VLOOKUP(F16,Прайсы!$W$3:$X$18,2,FALSE),0)</f>
        <v>0</v>
      </c>
      <c r="H16" s="50" t="str">
        <f>IF('КСО-204'!G31="","",'КСО-204'!G31)</f>
        <v/>
      </c>
      <c r="I16" s="48">
        <f>IFERROR(VLOOKUP(H16,Прайсы!$W$3:$X$18,2,FALSE),0)</f>
        <v>0</v>
      </c>
      <c r="J16" s="50" t="str">
        <f>IF('КСО-204'!H31="","",'КСО-204'!H31)</f>
        <v/>
      </c>
      <c r="K16" s="48">
        <f>IFERROR(VLOOKUP(J16,Прайсы!$W$3:$X$18,2,FALSE),0)</f>
        <v>0</v>
      </c>
      <c r="L16" s="50" t="str">
        <f>IF('КСО-204'!I31="","",'КСО-204'!I31)</f>
        <v/>
      </c>
      <c r="M16" s="48">
        <f>IFERROR(VLOOKUP(L16,Прайсы!$W$3:$X$18,2,FALSE),0)</f>
        <v>0</v>
      </c>
      <c r="N16" s="50" t="str">
        <f>IF('КСО-204'!J31="","",'КСО-204'!J31)</f>
        <v/>
      </c>
      <c r="O16" s="48">
        <f>IFERROR(VLOOKUP(N16,Прайсы!$W$3:$X$18,2,FALSE),0)</f>
        <v>0</v>
      </c>
      <c r="P16" s="50" t="str">
        <f>IF('КСО-204'!K31="","",'КСО-204'!K31)</f>
        <v/>
      </c>
      <c r="Q16" s="48">
        <f>IFERROR(VLOOKUP(P16,Прайсы!$W$3:$X$18,2,FALSE),0)</f>
        <v>0</v>
      </c>
      <c r="R16" s="50" t="str">
        <f>IF('КСО-204'!L31="","",'КСО-204'!L31)</f>
        <v/>
      </c>
      <c r="S16" s="48">
        <f>IFERROR(VLOOKUP(R16,Прайсы!$W$3:$X$18,2,FALSE),0)</f>
        <v>0</v>
      </c>
      <c r="T16" s="50" t="str">
        <f>IF('КСО-204'!M31="","",'КСО-204'!M31)</f>
        <v/>
      </c>
      <c r="U16" s="48">
        <f>IFERROR(VLOOKUP(T16,Прайсы!$W$3:$X$18,2,FALSE),0)</f>
        <v>0</v>
      </c>
      <c r="X16" s="53" t="str">
        <f>B31</f>
        <v>ФОТ КСО-204</v>
      </c>
      <c r="Y16" s="53" t="str">
        <f>D31</f>
        <v>ФОТ КСО-204</v>
      </c>
      <c r="Z16" s="53" t="str">
        <f>F31</f>
        <v>ФОТ КСО-204</v>
      </c>
      <c r="AA16" s="53" t="str">
        <f>H31</f>
        <v>ФОТ КСО-204</v>
      </c>
      <c r="AB16" s="53" t="str">
        <f>J31</f>
        <v>ФОТ КСО-204</v>
      </c>
      <c r="AC16" s="53" t="str">
        <f>L31</f>
        <v>ФОТ КСО-204</v>
      </c>
      <c r="AD16" s="53" t="str">
        <f>N31</f>
        <v>ФОТ КСО-204</v>
      </c>
      <c r="AE16" s="53" t="str">
        <f>P31</f>
        <v xml:space="preserve">ФОТ </v>
      </c>
      <c r="AF16" s="53" t="str">
        <f>R31</f>
        <v xml:space="preserve">ФОТ </v>
      </c>
      <c r="AG16" s="53" t="str">
        <f>T31</f>
        <v xml:space="preserve">ФОТ </v>
      </c>
      <c r="AH16" s="53"/>
      <c r="AT16" s="109">
        <f>VLOOKUP(Таблица13[[#This Row],[оборудование]],Таблица_Регистрация_2012_год.accdb_2[[ТТНП]:[Дата]],3,FALSE)</f>
        <v>45572</v>
      </c>
      <c r="AU16" s="109">
        <f>VLOOKUP(Таблица13[[#This Row],[оборудование2]],Таблица_Регистрация_2012_год.accdb_2[[ТТНП]:[Дата]],3,FALSE)</f>
        <v>45572</v>
      </c>
      <c r="AV16" s="109" t="e">
        <f>VLOOKUP(Таблица13[[#This Row],[оборудование4]],Таблица_Регистрация_2012_год.accdb_2[[ТТНП]:[Дата]],3,FALSE)</f>
        <v>#N/A</v>
      </c>
      <c r="AW16" s="109" t="e">
        <f>VLOOKUP(Таблица13[[#This Row],[оборудование6]],Таблица_Регистрация_2012_год.accdb_2[[ТТНП]:[Дата]],3,FALSE)</f>
        <v>#N/A</v>
      </c>
      <c r="AX16" s="109" t="e">
        <f>VLOOKUP(Таблица13[[#This Row],[оборудование8]],Таблица_Регистрация_2012_год.accdb_2[[ТТНП]:[Дата]],3,FALSE)</f>
        <v>#N/A</v>
      </c>
      <c r="AY16" s="109" t="e">
        <f>VLOOKUP(Таблица13[[#This Row],[оборудование10]],Таблица_Регистрация_2012_год.accdb_2[[ТТНП]:[Дата]],3,FALSE)</f>
        <v>#N/A</v>
      </c>
      <c r="AZ16" s="109" t="e">
        <f>VLOOKUP(Таблица13[[#This Row],[оборудование12]],Таблица_Регистрация_2012_год.accdb_2[[ТТНП]:[Дата]],3,FALSE)</f>
        <v>#N/A</v>
      </c>
      <c r="BA16" s="109" t="e">
        <f>VLOOKUP(Таблица13[[#This Row],[оборудование14]],Таблица_Регистрация_2012_год.accdb_2[[ТТНП]:[Дата]],3,FALSE)</f>
        <v>#N/A</v>
      </c>
      <c r="BB16" s="109" t="e">
        <f>VLOOKUP(Таблица13[[#This Row],[оборудование16]],Таблица_Регистрация_2012_год.accdb_2[[ТТНП]:[Дата]],3,FALSE)</f>
        <v>#N/A</v>
      </c>
      <c r="BC16" s="109" t="e">
        <f>VLOOKUP(Таблица13[[#This Row],[оборудование18]],Таблица_Регистрация_2012_год.accdb_2[[ТТНП]:[Дата]],3,FALSE)</f>
        <v>#N/A</v>
      </c>
      <c r="BE16" s="121">
        <v>630</v>
      </c>
      <c r="BF16" s="121">
        <v>1</v>
      </c>
    </row>
    <row r="17" spans="1:58">
      <c r="B17" s="50" t="str">
        <f>IF('КСО-204'!D32="","",'КСО-204'!D32)</f>
        <v/>
      </c>
      <c r="C17" s="48">
        <f>IF(B17="",0,(B17-1)*C18)</f>
        <v>0</v>
      </c>
      <c r="D17" s="50" t="str">
        <f>IF('КСО-204'!E32="","",'КСО-204'!E32)</f>
        <v/>
      </c>
      <c r="E17" s="48">
        <f>IF(D17="",0,(D17-1)*E18)</f>
        <v>0</v>
      </c>
      <c r="F17" s="50" t="str">
        <f>IF('КСО-204'!F32="","",'КСО-204'!F32)</f>
        <v/>
      </c>
      <c r="G17" s="48">
        <f>IF(F17="",0,(F17-1)*G18)</f>
        <v>0</v>
      </c>
      <c r="H17" s="50" t="str">
        <f>IF('КСО-204'!G32="","",'КСО-204'!G32)</f>
        <v/>
      </c>
      <c r="I17" s="48">
        <f>IF(H17="",0,(H17-1)*I18)</f>
        <v>0</v>
      </c>
      <c r="J17" s="50" t="str">
        <f>IF('КСО-204'!H32="","",'КСО-204'!H32)</f>
        <v/>
      </c>
      <c r="K17" s="48">
        <f>IF(J17="",0,(J17-1)*K18)</f>
        <v>0</v>
      </c>
      <c r="L17" s="50" t="str">
        <f>IF('КСО-204'!I32="","",'КСО-204'!I32)</f>
        <v/>
      </c>
      <c r="M17" s="48">
        <f>IF(L17="",0,(L17-1)*M18)</f>
        <v>0</v>
      </c>
      <c r="N17" s="50" t="str">
        <f>IF('КСО-204'!J32="","",'КСО-204'!J32)</f>
        <v/>
      </c>
      <c r="O17" s="48">
        <f>IF(N17="",0,(N17-1)*O18)</f>
        <v>0</v>
      </c>
      <c r="P17" s="50" t="str">
        <f>IF('КСО-204'!K32="","",'КСО-204'!K32)</f>
        <v/>
      </c>
      <c r="Q17" s="48">
        <f>IF(P17="",0,(P17-1)*Q18)</f>
        <v>0</v>
      </c>
      <c r="R17" s="50" t="str">
        <f>IF('КСО-204'!L32="","",'КСО-204'!L32)</f>
        <v/>
      </c>
      <c r="S17" s="48">
        <f>IF(R17="",0,(R17-1)*S18)</f>
        <v>0</v>
      </c>
      <c r="T17" s="50" t="str">
        <f>IF('КСО-204'!M32="","",'КСО-204'!M32)</f>
        <v/>
      </c>
      <c r="U17" s="48">
        <f>IF(T17="",0,(T17-1)*U18)</f>
        <v>0</v>
      </c>
      <c r="X17" s="53" t="str">
        <f>B2</f>
        <v>РВФЗ-10/1000</v>
      </c>
      <c r="Y17" s="53" t="str">
        <f>D2</f>
        <v>РВФЗ-10/1000</v>
      </c>
      <c r="Z17" s="53" t="str">
        <f>F2</f>
        <v>РВФЗ-10/1000</v>
      </c>
      <c r="AA17" s="53" t="str">
        <f>H2</f>
        <v>РВФЗ-10/1000</v>
      </c>
      <c r="AB17" s="53" t="str">
        <f>J2</f>
        <v>РВФЗ-10/1000</v>
      </c>
      <c r="AC17" s="53" t="str">
        <f>L2</f>
        <v>РВФЗ-10/1000</v>
      </c>
      <c r="AD17" s="53" t="str">
        <f>N2</f>
        <v>РВФЗ-10/1000</v>
      </c>
      <c r="AE17" s="53" t="str">
        <f>P2</f>
        <v/>
      </c>
      <c r="AF17" s="53" t="str">
        <f>R2</f>
        <v/>
      </c>
      <c r="AG17" s="53" t="str">
        <f>T2</f>
        <v/>
      </c>
      <c r="AH17" s="53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E17" s="121">
        <v>1000</v>
      </c>
      <c r="BF17" s="121">
        <v>2</v>
      </c>
    </row>
    <row r="18" spans="1:58">
      <c r="B18" s="50" t="str">
        <f>IF('КСО-204'!D33="","",'КСО-204'!D33)</f>
        <v/>
      </c>
      <c r="C18" s="48">
        <f>IFERROR(VLOOKUP(B18,Прайсы!$CH$3:$CI$106,2,FALSE),0)</f>
        <v>0</v>
      </c>
      <c r="D18" s="50" t="str">
        <f>IF('КСО-204'!E33="","",'КСО-204'!E33)</f>
        <v/>
      </c>
      <c r="E18" s="48">
        <f>IFERROR(VLOOKUP(D18,Прайсы!$CH$3:$CI$106,2,FALSE),0)</f>
        <v>0</v>
      </c>
      <c r="F18" s="50" t="str">
        <f>IF('КСО-204'!F33="","",'КСО-204'!F33)</f>
        <v/>
      </c>
      <c r="G18" s="48">
        <f>IFERROR(VLOOKUP(F18,Прайсы!$CH$3:$CI$106,2,FALSE),0)</f>
        <v>0</v>
      </c>
      <c r="H18" s="50" t="str">
        <f>IF('КСО-204'!G33="","",'КСО-204'!G33)</f>
        <v/>
      </c>
      <c r="I18" s="48">
        <f>IFERROR(VLOOKUP(H18,Прайсы!$CH$3:$CI$106,2,FALSE),0)</f>
        <v>0</v>
      </c>
      <c r="J18" s="50" t="str">
        <f>IF('КСО-204'!H33="","",'КСО-204'!H33)</f>
        <v/>
      </c>
      <c r="K18" s="48">
        <f>IFERROR(VLOOKUP(J18,Прайсы!$CH$3:$CI$106,2,FALSE),0)</f>
        <v>0</v>
      </c>
      <c r="L18" s="50" t="str">
        <f>IF('КСО-204'!I33="","",'КСО-204'!I33)</f>
        <v/>
      </c>
      <c r="M18" s="48">
        <f>IFERROR(VLOOKUP(L18,Прайсы!$CH$3:$CI$106,2,FALSE),0)</f>
        <v>0</v>
      </c>
      <c r="N18" s="50" t="str">
        <f>IF('КСО-204'!J33="","",'КСО-204'!J33)</f>
        <v/>
      </c>
      <c r="O18" s="48">
        <f>IFERROR(VLOOKUP(N18,Прайсы!$CH$3:$CI$106,2,FALSE),0)</f>
        <v>0</v>
      </c>
      <c r="P18" s="50" t="str">
        <f>IF('КСО-204'!K33="","",'КСО-204'!K33)</f>
        <v/>
      </c>
      <c r="Q18" s="48">
        <f>IFERROR(VLOOKUP(P18,Прайсы!$CH$3:$CI$106,2,FALSE),0)</f>
        <v>0</v>
      </c>
      <c r="R18" s="50" t="str">
        <f>IF('КСО-204'!L33="","",'КСО-204'!L33)</f>
        <v/>
      </c>
      <c r="S18" s="48">
        <f>IFERROR(VLOOKUP(R18,Прайсы!$CH$3:$CI$106,2,FALSE),0)</f>
        <v>0</v>
      </c>
      <c r="T18" s="50" t="str">
        <f>IF('КСО-204'!M33="","",'КСО-204'!M33)</f>
        <v/>
      </c>
      <c r="U18" s="48">
        <f>IFERROR(VLOOKUP(T18,Прайсы!$CH$3:$CI$106,2,FALSE),0)</f>
        <v>0</v>
      </c>
      <c r="AT18" s="109" t="e">
        <f>VLOOKUP(Таблица13[[#This Row],[оборудование]],Таблица_Регистрация_2012_год.accdb_11[[Доп]:[Дата]],3,FALSE)</f>
        <v>#N/A</v>
      </c>
      <c r="AU18" s="109" t="e">
        <f>VLOOKUP(Таблица13[[#This Row],[оборудование2]],Таблица_Регистрация_2012_год.accdb_11[[Доп]:[Дата]],3,FALSE)</f>
        <v>#N/A</v>
      </c>
      <c r="AV18" s="109" t="e">
        <f>VLOOKUP(Таблица13[[#This Row],[оборудование4]],Таблица_Регистрация_2012_год.accdb_11[[Доп]:[Дата]],3,FALSE)</f>
        <v>#N/A</v>
      </c>
      <c r="AW18" s="109" t="e">
        <f>VLOOKUP(Таблица13[[#This Row],[оборудование6]],Таблица_Регистрация_2012_год.accdb_11[[Доп]:[Дата]],3,FALSE)</f>
        <v>#N/A</v>
      </c>
      <c r="AX18" s="109" t="e">
        <f>VLOOKUP(Таблица13[[#This Row],[оборудование8]],Таблица_Регистрация_2012_год.accdb_11[[Доп]:[Дата]],3,FALSE)</f>
        <v>#N/A</v>
      </c>
      <c r="AY18" s="109" t="e">
        <f>VLOOKUP(Таблица13[[#This Row],[оборудование10]],Таблица_Регистрация_2012_год.accdb_11[[Доп]:[Дата]],3,FALSE)</f>
        <v>#N/A</v>
      </c>
      <c r="AZ18" s="109" t="e">
        <f>VLOOKUP(Таблица13[[#This Row],[оборудование12]],Таблица_Регистрация_2012_год.accdb_11[[Доп]:[Дата]],3,FALSE)</f>
        <v>#N/A</v>
      </c>
      <c r="BA18" s="109" t="e">
        <f>VLOOKUP(Таблица13[[#This Row],[оборудование14]],Таблица_Регистрация_2012_год.accdb_11[[Доп]:[Дата]],3,FALSE)</f>
        <v>#N/A</v>
      </c>
      <c r="BB18" s="109" t="e">
        <f>VLOOKUP(Таблица13[[#This Row],[оборудование16]],Таблица_Регистрация_2012_год.accdb_11[[Доп]:[Дата]],3,FALSE)</f>
        <v>#N/A</v>
      </c>
      <c r="BC18" s="109" t="e">
        <f>VLOOKUP(Таблица13[[#This Row],[оборудование18]],Таблица_Регистрация_2012_год.accdb_11[[Доп]:[Дата]],3,FALSE)</f>
        <v>#N/A</v>
      </c>
      <c r="BE18" s="121" t="s">
        <v>114</v>
      </c>
      <c r="BF18" s="121">
        <v>3</v>
      </c>
    </row>
    <row r="19" spans="1:58">
      <c r="B19" s="50" t="str">
        <f>IF('КСО-204'!D34="","",'КСО-204'!D34)</f>
        <v/>
      </c>
      <c r="C19" s="48">
        <f>IF(B19="",0,(B19-1)*C20)</f>
        <v>0</v>
      </c>
      <c r="D19" s="50" t="str">
        <f>IF('КСО-204'!E34="","",'КСО-204'!E34)</f>
        <v/>
      </c>
      <c r="E19" s="48">
        <f>IF(D19="",0,(D19-1)*E20)</f>
        <v>0</v>
      </c>
      <c r="F19" s="50" t="str">
        <f>IF('КСО-204'!F34="","",'КСО-204'!F34)</f>
        <v/>
      </c>
      <c r="G19" s="48">
        <f>IF(F19="",0,(F19-1)*G20)</f>
        <v>0</v>
      </c>
      <c r="H19" s="50" t="str">
        <f>IF('КСО-204'!G34="","",'КСО-204'!G34)</f>
        <v/>
      </c>
      <c r="I19" s="48">
        <f>IF(H19="",0,(H19-1)*I20)</f>
        <v>0</v>
      </c>
      <c r="J19" s="50" t="str">
        <f>IF('КСО-204'!H34="","",'КСО-204'!H34)</f>
        <v/>
      </c>
      <c r="K19" s="48">
        <f>IF(J19="",0,(J19-1)*K20)</f>
        <v>0</v>
      </c>
      <c r="L19" s="50" t="str">
        <f>IF('КСО-204'!I34="","",'КСО-204'!I34)</f>
        <v/>
      </c>
      <c r="M19" s="48">
        <f>IF(L19="",0,(L19-1)*M20)</f>
        <v>0</v>
      </c>
      <c r="N19" s="50" t="str">
        <f>IF('КСО-204'!J34="","",'КСО-204'!J34)</f>
        <v/>
      </c>
      <c r="O19" s="48">
        <f>IF(N19="",0,(N19-1)*O20)</f>
        <v>0</v>
      </c>
      <c r="P19" s="50" t="str">
        <f>IF('КСО-204'!K34="","",'КСО-204'!K34)</f>
        <v/>
      </c>
      <c r="Q19" s="48">
        <f>IF(P19="",0,(P19-1)*Q20)</f>
        <v>0</v>
      </c>
      <c r="R19" s="50" t="str">
        <f>IF('КСО-204'!L34="","",'КСО-204'!L34)</f>
        <v/>
      </c>
      <c r="S19" s="48">
        <f>IF(R19="",0,(R19-1)*S20)</f>
        <v>0</v>
      </c>
      <c r="T19" s="50" t="str">
        <f>IF('КСО-204'!M34="","",'КСО-204'!M34)</f>
        <v/>
      </c>
      <c r="U19" s="48">
        <f>IF(T19="",0,(T19-1)*U20)</f>
        <v>0</v>
      </c>
      <c r="X19" s="53" t="str">
        <f t="shared" ref="X19:AG19" si="0">IF(LEFT(X17,3)="РВЗ","РВЗ","")</f>
        <v/>
      </c>
      <c r="Y19" s="53" t="str">
        <f t="shared" si="0"/>
        <v/>
      </c>
      <c r="Z19" s="53" t="str">
        <f t="shared" si="0"/>
        <v/>
      </c>
      <c r="AA19" s="53" t="str">
        <f t="shared" si="0"/>
        <v/>
      </c>
      <c r="AB19" s="53" t="str">
        <f t="shared" si="0"/>
        <v/>
      </c>
      <c r="AC19" s="53" t="str">
        <f t="shared" si="0"/>
        <v/>
      </c>
      <c r="AD19" s="53" t="str">
        <f t="shared" si="0"/>
        <v/>
      </c>
      <c r="AE19" s="53" t="str">
        <f t="shared" si="0"/>
        <v/>
      </c>
      <c r="AF19" s="53" t="str">
        <f t="shared" si="0"/>
        <v/>
      </c>
      <c r="AG19" s="53" t="str">
        <f t="shared" si="0"/>
        <v/>
      </c>
      <c r="AH19" s="53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E19" s="121" t="s">
        <v>115</v>
      </c>
      <c r="BF19" s="121">
        <v>4</v>
      </c>
    </row>
    <row r="20" spans="1:58">
      <c r="B20" s="50" t="str">
        <f>IF('КСО-204'!D35="","",'КСО-204'!D35)</f>
        <v/>
      </c>
      <c r="C20" s="48">
        <f>IFERROR(VLOOKUP(B20,Прайсы!$CH$3:$CI$106,2,FALSE),0)</f>
        <v>0</v>
      </c>
      <c r="D20" s="50" t="str">
        <f>IF('КСО-204'!E35="","",'КСО-204'!E35)</f>
        <v/>
      </c>
      <c r="E20" s="48">
        <f>IFERROR(VLOOKUP(D20,Прайсы!$CH$3:$CI$106,2,FALSE),0)</f>
        <v>0</v>
      </c>
      <c r="F20" s="50" t="str">
        <f>IF('КСО-204'!F35="","",'КСО-204'!F35)</f>
        <v/>
      </c>
      <c r="G20" s="48">
        <f>IFERROR(VLOOKUP(F20,Прайсы!$CH$3:$CI$106,2,FALSE),0)</f>
        <v>0</v>
      </c>
      <c r="H20" s="50" t="str">
        <f>IF('КСО-204'!G35="","",'КСО-204'!G35)</f>
        <v/>
      </c>
      <c r="I20" s="48">
        <f>IFERROR(VLOOKUP(H20,Прайсы!$CH$3:$CI$106,2,FALSE),0)</f>
        <v>0</v>
      </c>
      <c r="J20" s="50" t="str">
        <f>IF('КСО-204'!H35="","",'КСО-204'!H35)</f>
        <v/>
      </c>
      <c r="K20" s="48">
        <f>IFERROR(VLOOKUP(J20,Прайсы!$CH$3:$CI$106,2,FALSE),0)</f>
        <v>0</v>
      </c>
      <c r="L20" s="50" t="str">
        <f>IF('КСО-204'!I35="","",'КСО-204'!I35)</f>
        <v/>
      </c>
      <c r="M20" s="48">
        <f>IFERROR(VLOOKUP(L20,Прайсы!$CH$3:$CI$106,2,FALSE),0)</f>
        <v>0</v>
      </c>
      <c r="N20" s="50" t="str">
        <f>IF('КСО-204'!J35="","",'КСО-204'!J35)</f>
        <v/>
      </c>
      <c r="O20" s="48">
        <f>IFERROR(VLOOKUP(N20,Прайсы!$CH$3:$CI$106,2,FALSE),0)</f>
        <v>0</v>
      </c>
      <c r="P20" s="50" t="str">
        <f>IF('КСО-204'!K35="","",'КСО-204'!K35)</f>
        <v/>
      </c>
      <c r="Q20" s="48">
        <f>IFERROR(VLOOKUP(P20,Прайсы!$CH$3:$CI$106,2,FALSE),0)</f>
        <v>0</v>
      </c>
      <c r="R20" s="50" t="str">
        <f>IF('КСО-204'!L35="","",'КСО-204'!L35)</f>
        <v/>
      </c>
      <c r="S20" s="48">
        <f>IFERROR(VLOOKUP(R20,Прайсы!$CH$3:$CI$106,2,FALSE),0)</f>
        <v>0</v>
      </c>
      <c r="T20" s="50" t="str">
        <f>IF('КСО-204'!M35="","",'КСО-204'!M35)</f>
        <v/>
      </c>
      <c r="U20" s="48">
        <f>IFERROR(VLOOKUP(T20,Прайсы!$CH$3:$CI$106,2,FALSE),0)</f>
        <v>0</v>
      </c>
      <c r="X20" s="53" t="str">
        <f t="shared" ref="X20:AG20" si="1">IF(OR(LEFT(X15,3)="Лин",LEFT(X15,3)="Вво"),"",(LEFT(X15,3)))</f>
        <v/>
      </c>
      <c r="Y20" s="53" t="str">
        <f t="shared" si="1"/>
        <v/>
      </c>
      <c r="Z20" s="53" t="str">
        <f t="shared" si="1"/>
        <v/>
      </c>
      <c r="AA20" s="53" t="str">
        <f t="shared" si="1"/>
        <v>ТСН</v>
      </c>
      <c r="AB20" s="53" t="str">
        <f t="shared" si="1"/>
        <v>ТН</v>
      </c>
      <c r="AC20" s="53" t="str">
        <f t="shared" si="1"/>
        <v>СВ</v>
      </c>
      <c r="AD20" s="53" t="str">
        <f t="shared" si="1"/>
        <v>СР</v>
      </c>
      <c r="AE20" s="53" t="str">
        <f t="shared" si="1"/>
        <v/>
      </c>
      <c r="AF20" s="53" t="str">
        <f t="shared" si="1"/>
        <v/>
      </c>
      <c r="AG20" s="53" t="str">
        <f t="shared" si="1"/>
        <v/>
      </c>
      <c r="AH20" s="53"/>
      <c r="AT20" s="109" t="e">
        <f>VLOOKUP(Таблица13[[#This Row],[оборудование]],Таблица_Регистрация_2012_год.accdb_11[[Доп]:[Дата]],3,FALSE)</f>
        <v>#N/A</v>
      </c>
      <c r="AU20" s="109" t="e">
        <f>VLOOKUP(Таблица13[[#This Row],[оборудование2]],Таблица_Регистрация_2012_год.accdb_11[[Доп]:[Дата]],3,FALSE)</f>
        <v>#N/A</v>
      </c>
      <c r="AV20" s="109" t="e">
        <f>VLOOKUP(Таблица13[[#This Row],[оборудование4]],Таблица_Регистрация_2012_год.accdb_11[[Доп]:[Дата]],3,FALSE)</f>
        <v>#N/A</v>
      </c>
      <c r="AW20" s="109" t="e">
        <f>VLOOKUP(Таблица13[[#This Row],[оборудование6]],Таблица_Регистрация_2012_год.accdb_11[[Доп]:[Дата]],3,FALSE)</f>
        <v>#N/A</v>
      </c>
      <c r="AX20" s="109" t="e">
        <f>VLOOKUP(Таблица13[[#This Row],[оборудование8]],Таблица_Регистрация_2012_год.accdb_11[[Доп]:[Дата]],3,FALSE)</f>
        <v>#N/A</v>
      </c>
      <c r="AY20" s="109" t="e">
        <f>VLOOKUP(Таблица13[[#This Row],[оборудование10]],Таблица_Регистрация_2012_год.accdb_11[[Доп]:[Дата]],3,FALSE)</f>
        <v>#N/A</v>
      </c>
      <c r="AZ20" s="109" t="e">
        <f>VLOOKUP(Таблица13[[#This Row],[оборудование12]],Таблица_Регистрация_2012_год.accdb_11[[Доп]:[Дата]],3,FALSE)</f>
        <v>#N/A</v>
      </c>
      <c r="BA20" s="109" t="e">
        <f>VLOOKUP(Таблица13[[#This Row],[оборудование14]],Таблица_Регистрация_2012_год.accdb_11[[Доп]:[Дата]],3,FALSE)</f>
        <v>#N/A</v>
      </c>
      <c r="BB20" s="109" t="e">
        <f>VLOOKUP(Таблица13[[#This Row],[оборудование16]],Таблица_Регистрация_2012_год.accdb_11[[Доп]:[Дата]],3,FALSE)</f>
        <v>#N/A</v>
      </c>
      <c r="BC20" s="109" t="e">
        <f>VLOOKUP(Таблица13[[#This Row],[оборудование18]],Таблица_Регистрация_2012_год.accdb_11[[Доп]:[Дата]],3,FALSE)</f>
        <v>#N/A</v>
      </c>
      <c r="BE20" s="121" t="s">
        <v>113</v>
      </c>
      <c r="BF20" s="121">
        <v>5</v>
      </c>
    </row>
    <row r="21" spans="1:58">
      <c r="B21" s="50" t="str">
        <f>IF('КСО-204'!D36="","",'КСО-204'!D36)</f>
        <v/>
      </c>
      <c r="C21" s="48">
        <f>IF(B21="",0,(B21-1)*C22)</f>
        <v>0</v>
      </c>
      <c r="D21" s="50" t="str">
        <f>IF('КСО-204'!E36="","",'КСО-204'!E36)</f>
        <v/>
      </c>
      <c r="E21" s="48">
        <f t="shared" ref="E21" si="2">IF(D21="",0,(D21-1)*E22)</f>
        <v>0</v>
      </c>
      <c r="F21" s="50" t="str">
        <f>IF('КСО-204'!F36="","",'КСО-204'!F36)</f>
        <v/>
      </c>
      <c r="G21" s="48">
        <f t="shared" ref="G21" si="3">IF(F21="",0,(F21-1)*G22)</f>
        <v>0</v>
      </c>
      <c r="H21" s="50" t="str">
        <f>IF('КСО-204'!G36="","",'КСО-204'!G36)</f>
        <v/>
      </c>
      <c r="I21" s="48">
        <f t="shared" ref="I21" si="4">IF(H21="",0,(H21-1)*I22)</f>
        <v>0</v>
      </c>
      <c r="J21" s="50" t="str">
        <f>IF('КСО-204'!H36="","",'КСО-204'!H36)</f>
        <v/>
      </c>
      <c r="K21" s="48">
        <f t="shared" ref="K21" si="5">IF(J21="",0,(J21-1)*K22)</f>
        <v>0</v>
      </c>
      <c r="L21" s="50" t="str">
        <f>IF('КСО-204'!I36="","",'КСО-204'!I36)</f>
        <v/>
      </c>
      <c r="M21" s="48">
        <f t="shared" ref="M21" si="6">IF(L21="",0,(L21-1)*M22)</f>
        <v>0</v>
      </c>
      <c r="N21" s="50" t="str">
        <f>IF('КСО-204'!J36="","",'КСО-204'!J36)</f>
        <v/>
      </c>
      <c r="O21" s="48">
        <f t="shared" ref="O21" si="7">IF(N21="",0,(N21-1)*O22)</f>
        <v>0</v>
      </c>
      <c r="P21" s="50" t="str">
        <f>IF('КСО-204'!K36="","",'КСО-204'!K36)</f>
        <v/>
      </c>
      <c r="Q21" s="48">
        <f t="shared" ref="Q21" si="8">IF(P21="",0,(P21-1)*Q22)</f>
        <v>0</v>
      </c>
      <c r="R21" s="50" t="str">
        <f>IF('КСО-204'!L36="","",'КСО-204'!L36)</f>
        <v/>
      </c>
      <c r="S21" s="48">
        <f t="shared" ref="S21" si="9">IF(R21="",0,(R21-1)*S22)</f>
        <v>0</v>
      </c>
      <c r="T21" s="50" t="str">
        <f>IF('КСО-204'!M36="","",'КСО-204'!M36)</f>
        <v/>
      </c>
      <c r="U21" s="48">
        <f t="shared" ref="U21" si="10">IF(T21="",0,(T21-1)*U22)</f>
        <v>0</v>
      </c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</row>
    <row r="22" spans="1:58">
      <c r="B22" s="50" t="str">
        <f>IF('КСО-204'!D37="","",'КСО-204'!D37)</f>
        <v/>
      </c>
      <c r="C22" s="49">
        <f>IFERROR(VLOOKUP(B22,Прайсы!$CH$3:$CI$106,2,FALSE),0)</f>
        <v>0</v>
      </c>
      <c r="D22" s="50" t="str">
        <f>IF('КСО-204'!E37="","",'КСО-204'!E37)</f>
        <v/>
      </c>
      <c r="E22" s="48">
        <f>IFERROR(VLOOKUP(D22,Прайсы!$CH$3:$CI$106,2,FALSE),0)</f>
        <v>0</v>
      </c>
      <c r="F22" s="50" t="str">
        <f>IF('КСО-204'!F37="","",'КСО-204'!F37)</f>
        <v/>
      </c>
      <c r="G22" s="48">
        <f>IFERROR(VLOOKUP(F22,Прайсы!$CH$3:$CI$106,2,FALSE),0)</f>
        <v>0</v>
      </c>
      <c r="H22" s="50" t="str">
        <f>IF('КСО-204'!G37="","",'КСО-204'!G37)</f>
        <v/>
      </c>
      <c r="I22" s="48">
        <f>IFERROR(VLOOKUP(H22,Прайсы!$CH$3:$CI$106,2,FALSE),0)</f>
        <v>0</v>
      </c>
      <c r="J22" s="50" t="str">
        <f>IF('КСО-204'!H37="","",'КСО-204'!H37)</f>
        <v/>
      </c>
      <c r="K22" s="48">
        <f>IFERROR(VLOOKUP(J22,Прайсы!$CH$3:$CI$106,2,FALSE),0)</f>
        <v>0</v>
      </c>
      <c r="L22" s="50" t="str">
        <f>IF('КСО-204'!I37="","",'КСО-204'!I37)</f>
        <v/>
      </c>
      <c r="M22" s="48">
        <f>IFERROR(VLOOKUP(L22,Прайсы!$CH$3:$CI$106,2,FALSE),0)</f>
        <v>0</v>
      </c>
      <c r="N22" s="50" t="str">
        <f>IF('КСО-204'!J37="","",'КСО-204'!J37)</f>
        <v/>
      </c>
      <c r="O22" s="48">
        <f>IFERROR(VLOOKUP(N22,Прайсы!$CH$3:$CI$106,2,FALSE),0)</f>
        <v>0</v>
      </c>
      <c r="P22" s="50" t="str">
        <f>IF('КСО-204'!K37="","",'КСО-204'!K37)</f>
        <v/>
      </c>
      <c r="Q22" s="48">
        <f>IFERROR(VLOOKUP(P22,Прайсы!$CH$3:$CI$106,2,FALSE),0)</f>
        <v>0</v>
      </c>
      <c r="R22" s="50" t="str">
        <f>IF('КСО-204'!L37="","",'КСО-204'!L37)</f>
        <v/>
      </c>
      <c r="S22" s="48">
        <f>IFERROR(VLOOKUP(R22,Прайсы!$CH$3:$CI$106,2,FALSE),0)</f>
        <v>0</v>
      </c>
      <c r="T22" s="50" t="str">
        <f>IF('КСО-204'!M37="","",'КСО-204'!M37)</f>
        <v/>
      </c>
      <c r="U22" s="48">
        <f>IFERROR(VLOOKUP(T22,Прайсы!$CH$3:$CI$106,2,FALSE),0)</f>
        <v>0</v>
      </c>
      <c r="AT22" s="109" t="e">
        <f>VLOOKUP(Таблица13[[#This Row],[оборудование]],Таблица_Регистрация_2012_год.accdb_11[[Доп]:[Дата]],3,FALSE)</f>
        <v>#N/A</v>
      </c>
      <c r="AU22" s="109" t="e">
        <f>VLOOKUP(Таблица13[[#This Row],[оборудование2]],Таблица_Регистрация_2012_год.accdb_11[[Доп]:[Дата]],3,FALSE)</f>
        <v>#N/A</v>
      </c>
      <c r="AV22" s="109" t="e">
        <f>VLOOKUP(Таблица13[[#This Row],[оборудование4]],Таблица_Регистрация_2012_год.accdb_11[[Доп]:[Дата]],3,FALSE)</f>
        <v>#N/A</v>
      </c>
      <c r="AW22" s="109" t="e">
        <f>VLOOKUP(Таблица13[[#This Row],[оборудование6]],Таблица_Регистрация_2012_год.accdb_11[[Доп]:[Дата]],3,FALSE)</f>
        <v>#N/A</v>
      </c>
      <c r="AX22" s="109" t="e">
        <f>VLOOKUP(Таблица13[[#This Row],[оборудование8]],Таблица_Регистрация_2012_год.accdb_11[[Доп]:[Дата]],3,FALSE)</f>
        <v>#N/A</v>
      </c>
      <c r="AY22" s="109" t="e">
        <f>VLOOKUP(Таблица13[[#This Row],[оборудование10]],Таблица_Регистрация_2012_год.accdb_11[[Доп]:[Дата]],3,FALSE)</f>
        <v>#N/A</v>
      </c>
      <c r="AZ22" s="109" t="e">
        <f>VLOOKUP(Таблица13[[#This Row],[оборудование12]],Таблица_Регистрация_2012_год.accdb_11[[Доп]:[Дата]],3,FALSE)</f>
        <v>#N/A</v>
      </c>
      <c r="BA22" s="109" t="e">
        <f>VLOOKUP(Таблица13[[#This Row],[оборудование14]],Таблица_Регистрация_2012_год.accdb_11[[Доп]:[Дата]],3,FALSE)</f>
        <v>#N/A</v>
      </c>
      <c r="BB22" s="109" t="e">
        <f>VLOOKUP(Таблица13[[#This Row],[оборудование16]],Таблица_Регистрация_2012_год.accdb_11[[Доп]:[Дата]],3,FALSE)</f>
        <v>#N/A</v>
      </c>
      <c r="BC22" s="109" t="e">
        <f>VLOOKUP(Таблица13[[#This Row],[оборудование18]],Таблица_Регистрация_2012_год.accdb_11[[Доп]:[Дата]],3,FALSE)</f>
        <v>#N/A</v>
      </c>
    </row>
    <row r="23" spans="1:58">
      <c r="B23" s="50" t="str">
        <f>IF('КСО-204'!D38="","",'КСО-204'!D38)</f>
        <v/>
      </c>
      <c r="C23" s="48">
        <f>IF(B23="",0,(B23-1)*C24)</f>
        <v>0</v>
      </c>
      <c r="D23" s="50" t="str">
        <f>IF('КСО-204'!E38="","",'КСО-204'!E38)</f>
        <v/>
      </c>
      <c r="E23" s="48">
        <f t="shared" ref="E23" si="11">IF(D23="",0,(D23-1)*E24)</f>
        <v>0</v>
      </c>
      <c r="F23" s="50" t="str">
        <f>IF('КСО-204'!F38="","",'КСО-204'!F38)</f>
        <v/>
      </c>
      <c r="G23" s="48">
        <f t="shared" ref="G23" si="12">IF(F23="",0,(F23-1)*G24)</f>
        <v>0</v>
      </c>
      <c r="H23" s="50" t="str">
        <f>IF('КСО-204'!G38="","",'КСО-204'!G38)</f>
        <v/>
      </c>
      <c r="I23" s="48">
        <f t="shared" ref="I23" si="13">IF(H23="",0,(H23-1)*I24)</f>
        <v>0</v>
      </c>
      <c r="J23" s="50" t="str">
        <f>IF('КСО-204'!H38="","",'КСО-204'!H38)</f>
        <v/>
      </c>
      <c r="K23" s="48">
        <f t="shared" ref="K23" si="14">IF(J23="",0,(J23-1)*K24)</f>
        <v>0</v>
      </c>
      <c r="L23" s="50" t="str">
        <f>IF('КСО-204'!I38="","",'КСО-204'!I38)</f>
        <v/>
      </c>
      <c r="M23" s="48">
        <f t="shared" ref="M23" si="15">IF(L23="",0,(L23-1)*M24)</f>
        <v>0</v>
      </c>
      <c r="N23" s="50" t="str">
        <f>IF('КСО-204'!J38="","",'КСО-204'!J38)</f>
        <v/>
      </c>
      <c r="O23" s="48">
        <f t="shared" ref="O23" si="16">IF(N23="",0,(N23-1)*O24)</f>
        <v>0</v>
      </c>
      <c r="P23" s="50" t="str">
        <f>IF('КСО-204'!K38="","",'КСО-204'!K38)</f>
        <v/>
      </c>
      <c r="Q23" s="48">
        <f t="shared" ref="Q23" si="17">IF(P23="",0,(P23-1)*Q24)</f>
        <v>0</v>
      </c>
      <c r="R23" s="50" t="str">
        <f>IF('КСО-204'!L38="","",'КСО-204'!L38)</f>
        <v/>
      </c>
      <c r="S23" s="48">
        <f t="shared" ref="S23" si="18">IF(R23="",0,(R23-1)*S24)</f>
        <v>0</v>
      </c>
      <c r="T23" s="50" t="str">
        <f>IF('КСО-204'!M38="","",'КСО-204'!M38)</f>
        <v/>
      </c>
      <c r="U23" s="48">
        <f t="shared" ref="U23" si="19">IF(T23="",0,(T23-1)*U24)</f>
        <v>0</v>
      </c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</row>
    <row r="24" spans="1:58">
      <c r="B24" s="50" t="str">
        <f>IF('КСО-204'!D39="","",'КСО-204'!D39)</f>
        <v/>
      </c>
      <c r="C24" s="49">
        <f>IFERROR(VLOOKUP(B24,Прайсы!$CH$3:$CI$106,2,FALSE),0)</f>
        <v>0</v>
      </c>
      <c r="D24" s="50" t="str">
        <f>IF('КСО-204'!E39="","",'КСО-204'!E39)</f>
        <v/>
      </c>
      <c r="E24" s="48">
        <f>IFERROR(VLOOKUP(D24,Прайсы!$CH$3:$CI$106,2,FALSE),0)</f>
        <v>0</v>
      </c>
      <c r="F24" s="50" t="str">
        <f>IF('КСО-204'!F39="","",'КСО-204'!F39)</f>
        <v/>
      </c>
      <c r="G24" s="48">
        <f>IFERROR(VLOOKUP(F24,Прайсы!$CH$3:$CI$106,2,FALSE),0)</f>
        <v>0</v>
      </c>
      <c r="H24" s="50" t="str">
        <f>IF('КСО-204'!G39="","",'КСО-204'!G39)</f>
        <v/>
      </c>
      <c r="I24" s="48">
        <f>IFERROR(VLOOKUP(H24,Прайсы!$CH$3:$CI$106,2,FALSE),0)</f>
        <v>0</v>
      </c>
      <c r="J24" s="50" t="str">
        <f>IF('КСО-204'!H39="","",'КСО-204'!H39)</f>
        <v/>
      </c>
      <c r="K24" s="48">
        <f>IFERROR(VLOOKUP(J24,Прайсы!$CH$3:$CI$106,2,FALSE),0)</f>
        <v>0</v>
      </c>
      <c r="L24" s="50" t="str">
        <f>IF('КСО-204'!I39="","",'КСО-204'!I39)</f>
        <v/>
      </c>
      <c r="M24" s="48">
        <f>IFERROR(VLOOKUP(L24,Прайсы!$CH$3:$CI$106,2,FALSE),0)</f>
        <v>0</v>
      </c>
      <c r="N24" s="50" t="str">
        <f>IF('КСО-204'!J39="","",'КСО-204'!J39)</f>
        <v/>
      </c>
      <c r="O24" s="48">
        <f>IFERROR(VLOOKUP(N24,Прайсы!$CH$3:$CI$106,2,FALSE),0)</f>
        <v>0</v>
      </c>
      <c r="P24" s="50" t="str">
        <f>IF('КСО-204'!K39="","",'КСО-204'!K39)</f>
        <v/>
      </c>
      <c r="Q24" s="48">
        <f>IFERROR(VLOOKUP(P24,Прайсы!$CH$3:$CI$106,2,FALSE),0)</f>
        <v>0</v>
      </c>
      <c r="R24" s="50" t="str">
        <f>IF('КСО-204'!L39="","",'КСО-204'!L39)</f>
        <v/>
      </c>
      <c r="S24" s="48">
        <f>IFERROR(VLOOKUP(R24,Прайсы!$CH$3:$CI$106,2,FALSE),0)</f>
        <v>0</v>
      </c>
      <c r="T24" s="50" t="str">
        <f>IF('КСО-204'!M39="","",'КСО-204'!M39)</f>
        <v/>
      </c>
      <c r="U24" s="48">
        <f>IFERROR(VLOOKUP(T24,Прайсы!$CH$3:$CI$106,2,FALSE),0)</f>
        <v>0</v>
      </c>
      <c r="AT24" s="128" t="e">
        <f>VLOOKUP(Таблица13[[#This Row],[оборудование]],Таблица_Регистрация_2012_год.accdb_11[[Доп]:[Дата]],3,FALSE)</f>
        <v>#N/A</v>
      </c>
      <c r="AU24" s="128" t="e">
        <f>VLOOKUP(Таблица13[[#This Row],[оборудование2]],Таблица_Регистрация_2012_год.accdb_11[[Доп]:[Дата]],3,FALSE)</f>
        <v>#N/A</v>
      </c>
      <c r="AV24" s="128" t="e">
        <f>VLOOKUP(Таблица13[[#This Row],[оборудование4]],Таблица_Регистрация_2012_год.accdb_11[[Доп]:[Дата]],3,FALSE)</f>
        <v>#N/A</v>
      </c>
      <c r="AW24" s="128" t="e">
        <f>VLOOKUP(Таблица13[[#This Row],[оборудование6]],Таблица_Регистрация_2012_год.accdb_11[[Доп]:[Дата]],3,FALSE)</f>
        <v>#N/A</v>
      </c>
      <c r="AX24" s="128" t="e">
        <f>VLOOKUP(Таблица13[[#This Row],[оборудование8]],Таблица_Регистрация_2012_год.accdb_11[[Доп]:[Дата]],3,FALSE)</f>
        <v>#N/A</v>
      </c>
      <c r="AY24" s="128" t="e">
        <f>VLOOKUP(Таблица13[[#This Row],[оборудование10]],Таблица_Регистрация_2012_год.accdb_11[[Доп]:[Дата]],3,FALSE)</f>
        <v>#N/A</v>
      </c>
      <c r="AZ24" s="128" t="e">
        <f>VLOOKUP(Таблица13[[#This Row],[оборудование12]],Таблица_Регистрация_2012_год.accdb_11[[Доп]:[Дата]],3,FALSE)</f>
        <v>#N/A</v>
      </c>
      <c r="BA24" s="128" t="e">
        <f>VLOOKUP(Таблица13[[#This Row],[оборудование14]],Таблица_Регистрация_2012_год.accdb_11[[Доп]:[Дата]],3,FALSE)</f>
        <v>#N/A</v>
      </c>
      <c r="BB24" s="128" t="e">
        <f>VLOOKUP(Таблица13[[#This Row],[оборудование16]],Таблица_Регистрация_2012_год.accdb_11[[Доп]:[Дата]],3,FALSE)</f>
        <v>#N/A</v>
      </c>
      <c r="BC24" s="128" t="e">
        <f>VLOOKUP(Таблица13[[#This Row],[оборудование18]],Таблица_Регистрация_2012_год.accdb_11[[Доп]:[Дата]],3,FALSE)</f>
        <v>#N/A</v>
      </c>
    </row>
    <row r="25" spans="1:58">
      <c r="B25" s="50" t="str">
        <f>IF('КСО-204'!D40="","",'КСО-204'!D40)</f>
        <v/>
      </c>
      <c r="C25" s="48">
        <f>IF(B25="",0,(B25-1)*C26)</f>
        <v>0</v>
      </c>
      <c r="D25" s="50" t="str">
        <f>IF('КСО-204'!E40="","",'КСО-204'!E40)</f>
        <v/>
      </c>
      <c r="E25" s="48">
        <f t="shared" ref="E25" si="20">IF(D25="",0,(D25-1)*E26)</f>
        <v>0</v>
      </c>
      <c r="F25" s="50" t="str">
        <f>IF('КСО-204'!F40="","",'КСО-204'!F40)</f>
        <v/>
      </c>
      <c r="G25" s="48">
        <f t="shared" ref="G25" si="21">IF(F25="",0,(F25-1)*G26)</f>
        <v>0</v>
      </c>
      <c r="H25" s="50" t="str">
        <f>IF('КСО-204'!G40="","",'КСО-204'!G40)</f>
        <v/>
      </c>
      <c r="I25" s="48">
        <f t="shared" ref="I25" si="22">IF(H25="",0,(H25-1)*I26)</f>
        <v>0</v>
      </c>
      <c r="J25" s="50" t="str">
        <f>IF('КСО-204'!H40="","",'КСО-204'!H40)</f>
        <v/>
      </c>
      <c r="K25" s="48">
        <f t="shared" ref="K25" si="23">IF(J25="",0,(J25-1)*K26)</f>
        <v>0</v>
      </c>
      <c r="L25" s="50" t="str">
        <f>IF('КСО-204'!I40="","",'КСО-204'!I40)</f>
        <v/>
      </c>
      <c r="M25" s="48">
        <f t="shared" ref="M25" si="24">IF(L25="",0,(L25-1)*M26)</f>
        <v>0</v>
      </c>
      <c r="N25" s="50" t="str">
        <f>IF('КСО-204'!J40="","",'КСО-204'!J40)</f>
        <v/>
      </c>
      <c r="O25" s="48">
        <f t="shared" ref="O25" si="25">IF(N25="",0,(N25-1)*O26)</f>
        <v>0</v>
      </c>
      <c r="P25" s="50" t="str">
        <f>IF('КСО-204'!K40="","",'КСО-204'!K40)</f>
        <v/>
      </c>
      <c r="Q25" s="48">
        <f t="shared" ref="Q25" si="26">IF(P25="",0,(P25-1)*Q26)</f>
        <v>0</v>
      </c>
      <c r="R25" s="50" t="str">
        <f>IF('КСО-204'!L40="","",'КСО-204'!L40)</f>
        <v/>
      </c>
      <c r="S25" s="48">
        <f t="shared" ref="S25" si="27">IF(R25="",0,(R25-1)*S26)</f>
        <v>0</v>
      </c>
      <c r="T25" s="50" t="str">
        <f>IF('КСО-204'!M40="","",'КСО-204'!M40)</f>
        <v/>
      </c>
      <c r="U25" s="48">
        <f t="shared" ref="U25" si="28">IF(T25="",0,(T25-1)*U26)</f>
        <v>0</v>
      </c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</row>
    <row r="26" spans="1:58">
      <c r="B26" s="50" t="str">
        <f>IF('КСО-204'!D41="","",'КСО-204'!D41)</f>
        <v/>
      </c>
      <c r="C26" s="49">
        <f>IFERROR(VLOOKUP(B26,Прайсы!$CH$3:$CI$106,2,FALSE),0)</f>
        <v>0</v>
      </c>
      <c r="D26" s="50" t="str">
        <f>IF('КСО-204'!E41="","",'КСО-204'!E41)</f>
        <v/>
      </c>
      <c r="E26" s="48">
        <f>IFERROR(VLOOKUP(D26,Прайсы!$CH$3:$CI$106,2,FALSE),0)</f>
        <v>0</v>
      </c>
      <c r="F26" s="50" t="str">
        <f>IF('КСО-204'!F41="","",'КСО-204'!F41)</f>
        <v/>
      </c>
      <c r="G26" s="48">
        <f>IFERROR(VLOOKUP(F26,Прайсы!$CH$3:$CI$106,2,FALSE),0)</f>
        <v>0</v>
      </c>
      <c r="H26" s="50" t="str">
        <f>IF('КСО-204'!G41="","",'КСО-204'!G41)</f>
        <v/>
      </c>
      <c r="I26" s="48">
        <f>IFERROR(VLOOKUP(H26,Прайсы!$CH$3:$CI$106,2,FALSE),0)</f>
        <v>0</v>
      </c>
      <c r="J26" s="50" t="str">
        <f>IF('КСО-204'!H41="","",'КСО-204'!H41)</f>
        <v/>
      </c>
      <c r="K26" s="48">
        <f>IFERROR(VLOOKUP(J26,Прайсы!$CH$3:$CI$106,2,FALSE),0)</f>
        <v>0</v>
      </c>
      <c r="L26" s="50" t="str">
        <f>IF('КСО-204'!I41="","",'КСО-204'!I41)</f>
        <v/>
      </c>
      <c r="M26" s="48">
        <f>IFERROR(VLOOKUP(L26,Прайсы!$CH$3:$CI$106,2,FALSE),0)</f>
        <v>0</v>
      </c>
      <c r="N26" s="50" t="str">
        <f>IF('КСО-204'!J41="","",'КСО-204'!J41)</f>
        <v/>
      </c>
      <c r="O26" s="48">
        <f>IFERROR(VLOOKUP(N26,Прайсы!$CH$3:$CI$106,2,FALSE),0)</f>
        <v>0</v>
      </c>
      <c r="P26" s="50" t="str">
        <f>IF('КСО-204'!K41="","",'КСО-204'!K41)</f>
        <v/>
      </c>
      <c r="Q26" s="48">
        <f>IFERROR(VLOOKUP(P26,Прайсы!$CH$3:$CI$106,2,FALSE),0)</f>
        <v>0</v>
      </c>
      <c r="R26" s="50" t="str">
        <f>IF('КСО-204'!L41="","",'КСО-204'!L41)</f>
        <v/>
      </c>
      <c r="S26" s="48">
        <f>IFERROR(VLOOKUP(R26,Прайсы!$CH$3:$CI$106,2,FALSE),0)</f>
        <v>0</v>
      </c>
      <c r="T26" s="50" t="str">
        <f>IF('КСО-204'!M41="","",'КСО-204'!M41)</f>
        <v/>
      </c>
      <c r="U26" s="48">
        <f>IFERROR(VLOOKUP(T26,Прайсы!$CH$3:$CI$106,2,FALSE),0)</f>
        <v>0</v>
      </c>
      <c r="AT26" s="128" t="e">
        <f>VLOOKUP(Таблица13[[#This Row],[оборудование]],Таблица_Регистрация_2012_год.accdb_11[[Доп]:[Дата]],3,FALSE)</f>
        <v>#N/A</v>
      </c>
      <c r="AU26" s="128" t="e">
        <f>VLOOKUP(Таблица13[[#This Row],[оборудование2]],Таблица_Регистрация_2012_год.accdb_11[[Доп]:[Дата]],3,FALSE)</f>
        <v>#N/A</v>
      </c>
      <c r="AV26" s="128" t="e">
        <f>VLOOKUP(Таблица13[[#This Row],[оборудование4]],Таблица_Регистрация_2012_год.accdb_11[[Доп]:[Дата]],3,FALSE)</f>
        <v>#N/A</v>
      </c>
      <c r="AW26" s="128" t="e">
        <f>VLOOKUP(Таблица13[[#This Row],[оборудование6]],Таблица_Регистрация_2012_год.accdb_11[[Доп]:[Дата]],3,FALSE)</f>
        <v>#N/A</v>
      </c>
      <c r="AX26" s="128" t="e">
        <f>VLOOKUP(Таблица13[[#This Row],[оборудование8]],Таблица_Регистрация_2012_год.accdb_11[[Доп]:[Дата]],3,FALSE)</f>
        <v>#N/A</v>
      </c>
      <c r="AY26" s="128" t="e">
        <f>VLOOKUP(Таблица13[[#This Row],[оборудование10]],Таблица_Регистрация_2012_год.accdb_11[[Доп]:[Дата]],3,FALSE)</f>
        <v>#N/A</v>
      </c>
      <c r="AZ26" s="128" t="e">
        <f>VLOOKUP(Таблица13[[#This Row],[оборудование12]],Таблица_Регистрация_2012_год.accdb_11[[Доп]:[Дата]],3,FALSE)</f>
        <v>#N/A</v>
      </c>
      <c r="BA26" s="128" t="e">
        <f>VLOOKUP(Таблица13[[#This Row],[оборудование14]],Таблица_Регистрация_2012_год.accdb_11[[Доп]:[Дата]],3,FALSE)</f>
        <v>#N/A</v>
      </c>
      <c r="BB26" s="128" t="e">
        <f>VLOOKUP(Таблица13[[#This Row],[оборудование16]],Таблица_Регистрация_2012_год.accdb_11[[Доп]:[Дата]],3,FALSE)</f>
        <v>#N/A</v>
      </c>
      <c r="BC26" s="128" t="e">
        <f>VLOOKUP(Таблица13[[#This Row],[оборудование18]],Таблица_Регистрация_2012_год.accdb_11[[Доп]:[Дата]],3,FALSE)</f>
        <v>#N/A</v>
      </c>
    </row>
    <row r="27" spans="1:58">
      <c r="B27" s="50" t="str">
        <f>IF('КСО-204'!D42="","",'КСО-204'!D42)</f>
        <v/>
      </c>
      <c r="C27" s="48">
        <f>IF(B27="",0,(B27-1)*C28)</f>
        <v>0</v>
      </c>
      <c r="D27" s="50" t="str">
        <f>IF('КСО-204'!E42="","",'КСО-204'!E42)</f>
        <v/>
      </c>
      <c r="E27" s="48">
        <f t="shared" ref="E27" si="29">IF(D27="",0,(D27-1)*E28)</f>
        <v>0</v>
      </c>
      <c r="F27" s="50" t="str">
        <f>IF('КСО-204'!F42="","",'КСО-204'!F42)</f>
        <v/>
      </c>
      <c r="G27" s="48">
        <f t="shared" ref="G27" si="30">IF(F27="",0,(F27-1)*G28)</f>
        <v>0</v>
      </c>
      <c r="H27" s="50" t="str">
        <f>IF('КСО-204'!G42="","",'КСО-204'!G42)</f>
        <v/>
      </c>
      <c r="I27" s="48">
        <f t="shared" ref="I27" si="31">IF(H27="",0,(H27-1)*I28)</f>
        <v>0</v>
      </c>
      <c r="J27" s="50" t="str">
        <f>IF('КСО-204'!H42="","",'КСО-204'!H42)</f>
        <v/>
      </c>
      <c r="K27" s="48">
        <f t="shared" ref="K27" si="32">IF(J27="",0,(J27-1)*K28)</f>
        <v>0</v>
      </c>
      <c r="L27" s="50" t="str">
        <f>IF('КСО-204'!I42="","",'КСО-204'!I42)</f>
        <v/>
      </c>
      <c r="M27" s="48">
        <f t="shared" ref="M27" si="33">IF(L27="",0,(L27-1)*M28)</f>
        <v>0</v>
      </c>
      <c r="N27" s="50" t="str">
        <f>IF('КСО-204'!J42="","",'КСО-204'!J42)</f>
        <v/>
      </c>
      <c r="O27" s="48">
        <f t="shared" ref="O27" si="34">IF(N27="",0,(N27-1)*O28)</f>
        <v>0</v>
      </c>
      <c r="P27" s="50" t="str">
        <f>IF('КСО-204'!K42="","",'КСО-204'!K42)</f>
        <v/>
      </c>
      <c r="Q27" s="48">
        <f t="shared" ref="Q27" si="35">IF(P27="",0,(P27-1)*Q28)</f>
        <v>0</v>
      </c>
      <c r="R27" s="50" t="str">
        <f>IF('КСО-204'!L42="","",'КСО-204'!L42)</f>
        <v/>
      </c>
      <c r="S27" s="48">
        <f t="shared" ref="S27" si="36">IF(R27="",0,(R27-1)*S28)</f>
        <v>0</v>
      </c>
      <c r="T27" s="50" t="str">
        <f>IF('КСО-204'!M42="","",'КСО-204'!M42)</f>
        <v/>
      </c>
      <c r="U27" s="48">
        <f t="shared" ref="U27" si="37">IF(T27="",0,(T27-1)*U28)</f>
        <v>0</v>
      </c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</row>
    <row r="28" spans="1:58">
      <c r="B28" s="50" t="str">
        <f>IF('КСО-204'!D43="","",'КСО-204'!D43)</f>
        <v/>
      </c>
      <c r="C28" s="49">
        <f>IFERROR(VLOOKUP(B28,Прайсы!$CH$3:$CI$106,2,FALSE),0)</f>
        <v>0</v>
      </c>
      <c r="D28" s="50" t="str">
        <f>IF('КСО-204'!E43="","",'КСО-204'!E43)</f>
        <v/>
      </c>
      <c r="E28" s="48">
        <f>IFERROR(VLOOKUP(D28,Прайсы!$CH$3:$CI$106,2,FALSE),0)</f>
        <v>0</v>
      </c>
      <c r="F28" s="50" t="str">
        <f>IF('КСО-204'!F43="","",'КСО-204'!F43)</f>
        <v/>
      </c>
      <c r="G28" s="48">
        <f>IFERROR(VLOOKUP(F28,Прайсы!$CH$3:$CI$106,2,FALSE),0)</f>
        <v>0</v>
      </c>
      <c r="H28" s="50" t="str">
        <f>IF('КСО-204'!G43="","",'КСО-204'!G43)</f>
        <v/>
      </c>
      <c r="I28" s="48">
        <f>IFERROR(VLOOKUP(H28,Прайсы!$CH$3:$CI$106,2,FALSE),0)</f>
        <v>0</v>
      </c>
      <c r="J28" s="50" t="str">
        <f>IF('КСО-204'!H43="","",'КСО-204'!H43)</f>
        <v/>
      </c>
      <c r="K28" s="48">
        <f>IFERROR(VLOOKUP(J28,Прайсы!$CH$3:$CI$106,2,FALSE),0)</f>
        <v>0</v>
      </c>
      <c r="L28" s="50" t="str">
        <f>IF('КСО-204'!I43="","",'КСО-204'!I43)</f>
        <v/>
      </c>
      <c r="M28" s="48">
        <f>IFERROR(VLOOKUP(L28,Прайсы!$CH$3:$CI$106,2,FALSE),0)</f>
        <v>0</v>
      </c>
      <c r="N28" s="50" t="str">
        <f>IF('КСО-204'!J43="","",'КСО-204'!J43)</f>
        <v/>
      </c>
      <c r="O28" s="48">
        <f>IFERROR(VLOOKUP(N28,Прайсы!$CH$3:$CI$106,2,FALSE),0)</f>
        <v>0</v>
      </c>
      <c r="P28" s="50" t="str">
        <f>IF('КСО-204'!K43="","",'КСО-204'!K43)</f>
        <v/>
      </c>
      <c r="Q28" s="48">
        <f>IFERROR(VLOOKUP(P28,Прайсы!$CH$3:$CI$106,2,FALSE),0)</f>
        <v>0</v>
      </c>
      <c r="R28" s="50" t="str">
        <f>IF('КСО-204'!L43="","",'КСО-204'!L43)</f>
        <v/>
      </c>
      <c r="S28" s="48">
        <f>IFERROR(VLOOKUP(R28,Прайсы!$CH$3:$CI$106,2,FALSE),0)</f>
        <v>0</v>
      </c>
      <c r="T28" s="50" t="str">
        <f>IF('КСО-204'!M43="","",'КСО-204'!M43)</f>
        <v/>
      </c>
      <c r="U28" s="48">
        <f>IFERROR(VLOOKUP(T28,Прайсы!$CH$3:$CI$106,2,FALSE),0)</f>
        <v>0</v>
      </c>
      <c r="AT28" s="128" t="e">
        <f>VLOOKUP(Таблица13[[#This Row],[оборудование]],Таблица_Регистрация_2012_год.accdb_11[[Доп]:[Дата]],3,FALSE)</f>
        <v>#N/A</v>
      </c>
      <c r="AU28" s="128" t="e">
        <f>VLOOKUP(Таблица13[[#This Row],[оборудование2]],Таблица_Регистрация_2012_год.accdb_11[[Доп]:[Дата]],3,FALSE)</f>
        <v>#N/A</v>
      </c>
      <c r="AV28" s="128" t="e">
        <f>VLOOKUP(Таблица13[[#This Row],[оборудование4]],Таблица_Регистрация_2012_год.accdb_11[[Доп]:[Дата]],3,FALSE)</f>
        <v>#N/A</v>
      </c>
      <c r="AW28" s="128" t="e">
        <f>VLOOKUP(Таблица13[[#This Row],[оборудование6]],Таблица_Регистрация_2012_год.accdb_11[[Доп]:[Дата]],3,FALSE)</f>
        <v>#N/A</v>
      </c>
      <c r="AX28" s="128" t="e">
        <f>VLOOKUP(Таблица13[[#This Row],[оборудование8]],Таблица_Регистрация_2012_год.accdb_11[[Доп]:[Дата]],3,FALSE)</f>
        <v>#N/A</v>
      </c>
      <c r="AY28" s="128" t="e">
        <f>VLOOKUP(Таблица13[[#This Row],[оборудование10]],Таблица_Регистрация_2012_год.accdb_11[[Доп]:[Дата]],3,FALSE)</f>
        <v>#N/A</v>
      </c>
      <c r="AZ28" s="128" t="e">
        <f>VLOOKUP(Таблица13[[#This Row],[оборудование12]],Таблица_Регистрация_2012_год.accdb_11[[Доп]:[Дата]],3,FALSE)</f>
        <v>#N/A</v>
      </c>
      <c r="BA28" s="128" t="e">
        <f>VLOOKUP(Таблица13[[#This Row],[оборудование14]],Таблица_Регистрация_2012_год.accdb_11[[Доп]:[Дата]],3,FALSE)</f>
        <v>#N/A</v>
      </c>
      <c r="BB28" s="128" t="e">
        <f>VLOOKUP(Таблица13[[#This Row],[оборудование16]],Таблица_Регистрация_2012_год.accdb_11[[Доп]:[Дата]],3,FALSE)</f>
        <v>#N/A</v>
      </c>
      <c r="BC28" s="128" t="e">
        <f>VLOOKUP(Таблица13[[#This Row],[оборудование18]],Таблица_Регистрация_2012_год.accdb_11[[Доп]:[Дата]],3,FALSE)</f>
        <v>#N/A</v>
      </c>
    </row>
    <row r="29" spans="1:58">
      <c r="B29" s="51" t="str">
        <f>IF('КСО-204'!D15="","",'КСО-204'!D15)</f>
        <v>Линия</v>
      </c>
      <c r="C29" s="49" t="s">
        <v>13</v>
      </c>
      <c r="D29" s="51" t="str">
        <f>IF('КСО-204'!E15="","",'КСО-204'!E15)</f>
        <v>Линия</v>
      </c>
      <c r="E29" s="49" t="s">
        <v>13</v>
      </c>
      <c r="F29" s="51" t="str">
        <f>IF('КСО-204'!F15="","",'КСО-204'!F15)</f>
        <v>Ввод</v>
      </c>
      <c r="G29" s="49" t="s">
        <v>13</v>
      </c>
      <c r="H29" s="51" t="str">
        <f>IF('КСО-204'!G15="","",'КСО-204'!G15)</f>
        <v>ТСН</v>
      </c>
      <c r="I29" s="49" t="s">
        <v>126</v>
      </c>
      <c r="J29" s="51" t="str">
        <f>IF('КСО-204'!H15="","",'КСО-204'!H15)</f>
        <v>ТН</v>
      </c>
      <c r="K29" s="49" t="s">
        <v>124</v>
      </c>
      <c r="L29" s="51" t="str">
        <f>IF('КСО-204'!I15="","",'КСО-204'!I15)</f>
        <v>СВ</v>
      </c>
      <c r="M29" s="49" t="s">
        <v>955</v>
      </c>
      <c r="N29" s="51" t="str">
        <f>IF('КСО-204'!J15="","",'КСО-204'!J15)</f>
        <v>СР</v>
      </c>
      <c r="O29" s="49" t="s">
        <v>956</v>
      </c>
      <c r="P29" s="51" t="str">
        <f>IF('КСО-204'!K15="","",'КСО-204'!K15)</f>
        <v/>
      </c>
      <c r="Q29" s="49" t="e">
        <f>VLOOKUP(AE39,$B$59:$C$107,2,FALSE)</f>
        <v>#N/A</v>
      </c>
      <c r="R29" s="51" t="str">
        <f>IF('КСО-204'!L15="","",'КСО-204'!L15)</f>
        <v/>
      </c>
      <c r="S29" s="49" t="e">
        <f>VLOOKUP(AF39,$B$59:$C$107,2,FALSE)</f>
        <v>#N/A</v>
      </c>
      <c r="T29" s="51" t="str">
        <f>IF('КСО-204'!M15="","",'КСО-204'!M15)</f>
        <v/>
      </c>
      <c r="U29" s="49" t="e">
        <f>VLOOKUP(AG39,$B$59:$C$107,2,FALSE)</f>
        <v>#N/A</v>
      </c>
    </row>
    <row r="30" spans="1:58">
      <c r="A30" t="str">
        <f>B30</f>
        <v>Корпус КСО-204</v>
      </c>
      <c r="B30" s="5" t="str">
        <f>CONCATENATE("Корпус ", 'КСО-204'!D$10)</f>
        <v>Корпус КСО-204</v>
      </c>
      <c r="C30" s="48">
        <f>VLOOKUP(B30,Таблица_Регистрация_2012_год.accdb_12[[Накладные]:[Цена]],2,FALSE)</f>
        <v>37680</v>
      </c>
      <c r="D30" s="5" t="str">
        <f>CONCATENATE("Корпус ", 'КСО-204'!E$10)</f>
        <v>Корпус КСО-204</v>
      </c>
      <c r="E30" s="48">
        <f>VLOOKUP(D30,Таблица_Регистрация_2012_год.accdb_12[[Накладные]:[Цена]],2,FALSE)</f>
        <v>37680</v>
      </c>
      <c r="F30" s="5" t="str">
        <f>CONCATENATE("Корпус ", 'КСО-204'!F$10)</f>
        <v>Корпус КСО-204</v>
      </c>
      <c r="G30" s="48">
        <f>VLOOKUP(F30,Таблица_Регистрация_2012_год.accdb_12[[Накладные]:[Цена]],2,FALSE)</f>
        <v>37680</v>
      </c>
      <c r="H30" s="5" t="str">
        <f>CONCATENATE("Корпус ", 'КСО-204'!G$10)</f>
        <v>Корпус КСО-204</v>
      </c>
      <c r="I30" s="48">
        <f>VLOOKUP(H30,Таблица_Регистрация_2012_год.accdb_12[[Накладные]:[Цена]],2,FALSE)</f>
        <v>37680</v>
      </c>
      <c r="J30" s="5" t="str">
        <f>CONCATENATE("Корпус ", 'КСО-204'!H$10)</f>
        <v>Корпус КСО-204</v>
      </c>
      <c r="K30" s="48">
        <f>VLOOKUP(J30,Таблица_Регистрация_2012_год.accdb_12[[Накладные]:[Цена]],2,FALSE)</f>
        <v>37680</v>
      </c>
      <c r="L30" s="5" t="str">
        <f>CONCATENATE("Корпус ", 'КСО-204'!I$10)</f>
        <v>Корпус КСО-204</v>
      </c>
      <c r="M30" s="48">
        <f>VLOOKUP(L30,Таблица_Регистрация_2012_год.accdb_12[[Накладные]:[Цена]],2,FALSE)</f>
        <v>37680</v>
      </c>
      <c r="N30" s="5" t="str">
        <f>CONCATENATE("Корпус ", 'КСО-204'!J$10)</f>
        <v>Корпус КСО-204</v>
      </c>
      <c r="O30" s="48">
        <f>VLOOKUP(N30,Таблица_Регистрация_2012_год.accdb_12[[Накладные]:[Цена]],2,FALSE)</f>
        <v>37680</v>
      </c>
      <c r="P30" s="5" t="str">
        <f>CONCATENATE("Корпус ", 'КСО-204'!K$10)</f>
        <v xml:space="preserve">Корпус </v>
      </c>
      <c r="Q30" s="48" t="e">
        <f>VLOOKUP(P30,Таблица_Регистрация_2012_год.accdb_12[[Накладные]:[Цена]],2,FALSE)</f>
        <v>#N/A</v>
      </c>
      <c r="R30" s="5" t="str">
        <f>CONCATENATE("Корпус ", 'КСО-204'!L$10)</f>
        <v xml:space="preserve">Корпус </v>
      </c>
      <c r="S30" s="48" t="e">
        <f>VLOOKUP(R30,Таблица_Регистрация_2012_год.accdb_12[[Накладные]:[Цена]],2,FALSE)</f>
        <v>#N/A</v>
      </c>
      <c r="T30" s="5" t="str">
        <f>CONCATENATE("Корпус ", 'КСО-204'!M$10)</f>
        <v xml:space="preserve">Корпус </v>
      </c>
      <c r="U30" s="48" t="e">
        <f>VLOOKUP(T30,Таблица_Регистрация_2012_год.accdb_12[[Накладные]:[Цена]],2,FALSE)</f>
        <v>#N/A</v>
      </c>
      <c r="AX30" t="s">
        <v>98</v>
      </c>
    </row>
    <row r="31" spans="1:58">
      <c r="A31" t="str">
        <f>B31</f>
        <v>ФОТ КСО-204</v>
      </c>
      <c r="B31" s="5" t="str">
        <f>CONCATENATE("ФОТ ", 'КСО-204'!D$10)</f>
        <v>ФОТ КСО-204</v>
      </c>
      <c r="C31" s="130">
        <f>IF(C34*C41&gt;C43,C43,C34*C41)</f>
        <v>64809.36</v>
      </c>
      <c r="D31" s="5" t="str">
        <f>CONCATENATE("ФОТ ", 'КСО-204'!E$10)</f>
        <v>ФОТ КСО-204</v>
      </c>
      <c r="E31" s="130">
        <f>IF(E34*E41&gt;E43,E43,E34*E41)</f>
        <v>64809.36</v>
      </c>
      <c r="F31" s="5" t="str">
        <f>CONCATENATE("ФОТ ", 'КСО-204'!F$10)</f>
        <v>ФОТ КСО-204</v>
      </c>
      <c r="G31" s="130">
        <f>IF(G34*G41&gt;G43,G43,G34*G41)</f>
        <v>64809.36</v>
      </c>
      <c r="H31" s="5" t="str">
        <f>CONCATENATE("ФОТ ", 'КСО-204'!G$10)</f>
        <v>ФОТ КСО-204</v>
      </c>
      <c r="I31" s="130">
        <f>IF(I34*I41&gt;I43,I43,I34*I41)</f>
        <v>62311.829999999994</v>
      </c>
      <c r="J31" s="5" t="str">
        <f>CONCATENATE("ФОТ ", 'КСО-204'!H$10)</f>
        <v>ФОТ КСО-204</v>
      </c>
      <c r="K31" s="130">
        <f>IF(K34*K41&gt;K43,K43,K34*K41)</f>
        <v>55134.45</v>
      </c>
      <c r="L31" s="138" t="str">
        <f>CONCATENATE("ФОТ ", 'КСО-204'!I$10)</f>
        <v>ФОТ КСО-204</v>
      </c>
      <c r="M31" s="130">
        <f>IF(M34*M41&gt;M43,M43,M34*M41)</f>
        <v>64809.36</v>
      </c>
      <c r="N31" s="5" t="str">
        <f>CONCATENATE("ФОТ ", 'КСО-204'!J$10)</f>
        <v>ФОТ КСО-204</v>
      </c>
      <c r="O31" s="130">
        <f>IF(O34*O41&gt;O43,O43,O34*O41)</f>
        <v>16735.53</v>
      </c>
      <c r="P31" s="5" t="str">
        <f>CONCATENATE("ФОТ ", 'КСО-204'!K$10)</f>
        <v xml:space="preserve">ФОТ </v>
      </c>
      <c r="Q31" s="130" t="e">
        <f>IF(Q34*Q41&gt;Q43,Q43,Q34*Q41)</f>
        <v>#N/A</v>
      </c>
      <c r="R31" s="5" t="str">
        <f>CONCATENATE("ФОТ ", 'КСО-204'!L$10)</f>
        <v xml:space="preserve">ФОТ </v>
      </c>
      <c r="S31" s="130" t="e">
        <f>IF(S34*S41&gt;S43,S43,S34*S41)</f>
        <v>#N/A</v>
      </c>
      <c r="T31" s="5" t="str">
        <f>CONCATENATE("ФОТ ", 'КСО-204'!M$10)</f>
        <v xml:space="preserve">ФОТ </v>
      </c>
      <c r="U31" s="130" t="e">
        <f>IF(U34*U41&gt;U43,U43,U34*U41)</f>
        <v>#N/A</v>
      </c>
      <c r="AT31" s="16">
        <f ca="1">IFERROR(TODAY()-AT2,0)</f>
        <v>720</v>
      </c>
      <c r="AU31" s="16">
        <f t="shared" ref="AU31:BC31" ca="1" si="38">IFERROR(TODAY()-AU2,0)</f>
        <v>720</v>
      </c>
      <c r="AV31" s="16">
        <f t="shared" ca="1" si="38"/>
        <v>720</v>
      </c>
      <c r="AW31" s="16">
        <f t="shared" ca="1" si="38"/>
        <v>720</v>
      </c>
      <c r="AX31" s="16">
        <f t="shared" ca="1" si="38"/>
        <v>720</v>
      </c>
      <c r="AY31" s="16">
        <f t="shared" ca="1" si="38"/>
        <v>720</v>
      </c>
      <c r="AZ31" s="16">
        <f t="shared" ca="1" si="38"/>
        <v>720</v>
      </c>
      <c r="BA31" s="16">
        <f t="shared" ca="1" si="38"/>
        <v>0</v>
      </c>
      <c r="BB31" s="16">
        <f t="shared" ca="1" si="38"/>
        <v>0</v>
      </c>
      <c r="BC31" s="16">
        <f t="shared" ca="1" si="38"/>
        <v>0</v>
      </c>
    </row>
    <row r="32" spans="1:58">
      <c r="A32" t="str">
        <f>B32</f>
        <v>Накладные КСО-204 Линия</v>
      </c>
      <c r="B32" s="5" t="str">
        <f>CONCATENATE("Накладные ",'КСО-204'!D$10, " ",B$29)</f>
        <v>Накладные КСО-204 Линия</v>
      </c>
      <c r="C32" s="130">
        <f>IF(C31*C40&gt;C42,C42,C31*C40)</f>
        <v>103694.97600000001</v>
      </c>
      <c r="D32" s="5" t="str">
        <f>CONCATENATE("Накладные ",'КСО-204'!E$10, " ",D$29)</f>
        <v>Накладные КСО-204 Линия</v>
      </c>
      <c r="E32" s="130">
        <f>IF(E31*E40&gt;E42,E42,E31*E40)</f>
        <v>103694.97600000001</v>
      </c>
      <c r="F32" s="5" t="str">
        <f>CONCATENATE("Накладные ",'КСО-204'!F$10, " ",F$29)</f>
        <v>Накладные КСО-204 Ввод</v>
      </c>
      <c r="G32" s="130">
        <f>IF(G31*G40&gt;G42,G42,G31*G40)</f>
        <v>103694.97600000001</v>
      </c>
      <c r="H32" s="5" t="str">
        <f>CONCATENATE("Накладные ",'КСО-204'!G$10, " ",H$29)</f>
        <v>Накладные КСО-204 ТСН</v>
      </c>
      <c r="I32" s="130">
        <f>IF(I31*I40&gt;I42,I42,I31*I40)</f>
        <v>99698.928</v>
      </c>
      <c r="J32" s="5" t="str">
        <f>CONCATENATE("Накладные ",'КСО-204'!H$10, " ",J$29)</f>
        <v>Накладные КСО-204 ТН</v>
      </c>
      <c r="K32" s="130">
        <f>IF(K31*K40&gt;K42,K42,K31*K40)</f>
        <v>88215.12</v>
      </c>
      <c r="L32" s="5" t="str">
        <f>CONCATENATE("Накладные ",'КСО-204'!I$10, " ",L$29)</f>
        <v>Накладные КСО-204 СВ</v>
      </c>
      <c r="M32" s="130">
        <f>IF(M31*M40&gt;M42,M42,M31*M40)</f>
        <v>103694.97600000001</v>
      </c>
      <c r="N32" s="5" t="str">
        <f>CONCATENATE("Накладные ",'КСО-204'!J$10, " ",N$29)</f>
        <v>Накладные КСО-204 СР</v>
      </c>
      <c r="O32" s="130">
        <f>IF(O31*O40&gt;O42,O42,O31*O40)</f>
        <v>26776.847999999998</v>
      </c>
      <c r="P32" s="5" t="str">
        <f>CONCATENATE("Накладные ",'КСО-204'!K$10, " ",P$29)</f>
        <v xml:space="preserve">Накладные  </v>
      </c>
      <c r="Q32" s="130" t="e">
        <f>IF(Q31*Q40&gt;Q42,Q42,Q31*Q40)</f>
        <v>#N/A</v>
      </c>
      <c r="R32" s="5" t="str">
        <f>CONCATENATE("Накладные ",'КСО-204'!L$10, " ",R$29)</f>
        <v xml:space="preserve">Накладные  </v>
      </c>
      <c r="S32" s="130" t="e">
        <f>IF(S31*S40&gt;S42,S42,S31*S40)</f>
        <v>#N/A</v>
      </c>
      <c r="T32" s="5" t="str">
        <f>CONCATENATE("Накладные ",'КСО-204'!M$10, " ",T$29)</f>
        <v xml:space="preserve">Накладные  </v>
      </c>
      <c r="U32" s="130" t="e">
        <f>IF(U31*U40&gt;U42,U42,U31*U40)</f>
        <v>#N/A</v>
      </c>
      <c r="AT32" s="16">
        <f t="shared" ref="AT32:BC32" ca="1" si="39">IFERROR(TODAY()-AT3,0)</f>
        <v>750</v>
      </c>
      <c r="AU32" s="16">
        <f t="shared" ca="1" si="39"/>
        <v>750</v>
      </c>
      <c r="AV32" s="16">
        <f t="shared" ca="1" si="39"/>
        <v>750</v>
      </c>
      <c r="AW32" s="16">
        <f t="shared" ca="1" si="39"/>
        <v>0</v>
      </c>
      <c r="AX32" s="16">
        <f t="shared" ca="1" si="39"/>
        <v>0</v>
      </c>
      <c r="AY32" s="16">
        <f t="shared" ca="1" si="39"/>
        <v>750</v>
      </c>
      <c r="AZ32" s="16">
        <f t="shared" ca="1" si="39"/>
        <v>0</v>
      </c>
      <c r="BA32" s="16">
        <f t="shared" ca="1" si="39"/>
        <v>0</v>
      </c>
      <c r="BB32" s="16">
        <f t="shared" ca="1" si="39"/>
        <v>0</v>
      </c>
      <c r="BC32" s="16">
        <f t="shared" ca="1" si="39"/>
        <v>0</v>
      </c>
    </row>
    <row r="33" spans="1:55">
      <c r="A33" s="88">
        <v>0.1</v>
      </c>
      <c r="B33" s="140"/>
      <c r="C33" s="84">
        <f>$A$33</f>
      </c>
      <c r="D33" s="84"/>
      <c r="E33" s="84">
        <f>$A$33</f>
      </c>
      <c r="F33" s="84"/>
      <c r="G33" s="84">
        <f>$A$33</f>
      </c>
      <c r="H33" s="84"/>
      <c r="I33" s="84">
        <f>$A$33</f>
      </c>
      <c r="J33" s="84"/>
      <c r="K33" s="84">
        <f>$A$33</f>
      </c>
      <c r="L33" s="84"/>
      <c r="M33" s="84">
        <f>$A$33</f>
      </c>
      <c r="N33" s="84"/>
      <c r="O33" s="84">
        <f>$A$33</f>
      </c>
      <c r="P33" s="84"/>
      <c r="Q33" s="84">
        <f>$A$33</f>
      </c>
      <c r="R33" s="84"/>
      <c r="S33" s="84">
        <f>$A$33</f>
      </c>
      <c r="T33" s="84"/>
      <c r="U33" s="84">
        <f>$A$33</f>
      </c>
      <c r="V33" s="84"/>
      <c r="AT33" s="16">
        <f t="shared" ref="AT33:BC33" ca="1" si="40">IFERROR(TODAY()-AT4,0)</f>
        <v>750</v>
      </c>
      <c r="AU33" s="16">
        <f t="shared" ca="1" si="40"/>
        <v>750</v>
      </c>
      <c r="AV33" s="16">
        <f t="shared" ca="1" si="40"/>
        <v>750</v>
      </c>
      <c r="AW33" s="16">
        <f t="shared" ca="1" si="40"/>
        <v>0</v>
      </c>
      <c r="AX33" s="16">
        <f t="shared" ca="1" si="40"/>
        <v>0</v>
      </c>
      <c r="AY33" s="16">
        <f t="shared" ca="1" si="40"/>
        <v>750</v>
      </c>
      <c r="AZ33" s="16">
        <f t="shared" ca="1" si="40"/>
        <v>0</v>
      </c>
      <c r="BA33" s="16">
        <f t="shared" ca="1" si="40"/>
        <v>0</v>
      </c>
      <c r="BB33" s="16">
        <f t="shared" ca="1" si="40"/>
        <v>0</v>
      </c>
      <c r="BC33" s="16">
        <f t="shared" ca="1" si="40"/>
        <v>0</v>
      </c>
    </row>
    <row r="34" spans="1:55">
      <c r="A34" t="str">
        <f t="shared" ref="A34:A37" si="41">B34</f>
        <v>комплектация</v>
      </c>
      <c r="B34" s="5" t="s">
        <v>77</v>
      </c>
      <c r="C34" s="43">
        <f>IF(B29="",0,SUM(C2:C28)+C30+$B$38)</f>
        <v>409844</v>
      </c>
      <c r="D34" s="33">
        <f>E34</f>
        <v>409844</v>
      </c>
      <c r="E34" s="43">
        <f>IF(D29="",0,SUM(E2:E28)+E30+$B$38)</f>
        <v>409844</v>
      </c>
      <c r="F34" s="33">
        <f t="shared" ref="F34" si="42">G34</f>
        <v>418628</v>
      </c>
      <c r="G34" s="43">
        <f t="shared" ref="G34" si="43">IF(F29="",0,SUM(G2:G28)+G30+$B$38)</f>
        <v>418628</v>
      </c>
      <c r="H34" s="33">
        <f t="shared" ref="H34" si="44">I34</f>
        <v>296723</v>
      </c>
      <c r="I34" s="43">
        <f t="shared" ref="I34" si="45">IF(H29="",0,SUM(I2:I28)+I30+$B$38)</f>
        <v>296723</v>
      </c>
      <c r="J34" s="33">
        <f t="shared" ref="J34" si="46">K34</f>
        <v>262545</v>
      </c>
      <c r="K34" s="43">
        <f t="shared" ref="K34" si="47">IF(J29="",0,SUM(K2:K28)+K30+$B$38)</f>
        <v>262545</v>
      </c>
      <c r="L34" s="33">
        <f t="shared" ref="L34" si="48">M34</f>
        <v>374620</v>
      </c>
      <c r="M34" s="43">
        <f t="shared" ref="M34" si="49">IF(L29="",0,SUM(M2:M28)+M30+$B$38)</f>
        <v>374620</v>
      </c>
      <c r="N34" s="33">
        <f t="shared" ref="N34" si="50">O34</f>
        <v>79693</v>
      </c>
      <c r="O34" s="43">
        <f t="shared" ref="O34" si="51">IF(N29="",0,SUM(O2:O28)+O30+$B$38)</f>
        <v>79693</v>
      </c>
      <c r="P34" s="33">
        <f t="shared" ref="P34" si="52">Q34</f>
        <v>0</v>
      </c>
      <c r="Q34" s="43">
        <f t="shared" ref="Q34" si="53">IF(P29="",0,SUM(Q2:Q28)+Q30+$B$38)</f>
        <v>0</v>
      </c>
      <c r="R34" s="33">
        <f t="shared" ref="R34" si="54">S34</f>
        <v>0</v>
      </c>
      <c r="S34" s="43">
        <f t="shared" ref="S34" si="55">IF(R29="",0,SUM(S2:S28)+S30+$B$38)</f>
        <v>0</v>
      </c>
      <c r="T34" s="33">
        <f t="shared" ref="T34" si="56">U34</f>
        <v>0</v>
      </c>
      <c r="U34" s="43">
        <f t="shared" ref="U34" si="57">IF(T29="",0,SUM(U2:U28)+U30+$B$38)</f>
        <v>0</v>
      </c>
      <c r="V34" s="5"/>
      <c r="AT34" s="16">
        <f t="shared" ref="AT34:BC34" ca="1" si="58">IFERROR(TODAY()-AT5,0)</f>
        <v>373</v>
      </c>
      <c r="AU34" s="16">
        <f t="shared" ca="1" si="58"/>
        <v>373</v>
      </c>
      <c r="AV34" s="16">
        <f t="shared" ca="1" si="58"/>
        <v>373</v>
      </c>
      <c r="AW34" s="16">
        <f t="shared" ca="1" si="58"/>
        <v>0</v>
      </c>
      <c r="AX34" s="16">
        <f t="shared" ca="1" si="58"/>
        <v>373</v>
      </c>
      <c r="AY34" s="16">
        <f t="shared" ca="1" si="58"/>
        <v>373</v>
      </c>
      <c r="AZ34" s="16">
        <f t="shared" ca="1" si="58"/>
        <v>0</v>
      </c>
      <c r="BA34" s="16">
        <f t="shared" ca="1" si="58"/>
        <v>0</v>
      </c>
      <c r="BB34" s="16">
        <f t="shared" ca="1" si="58"/>
        <v>0</v>
      </c>
      <c r="BC34" s="16">
        <f t="shared" ca="1" si="58"/>
        <v>0</v>
      </c>
    </row>
    <row r="35" spans="1:55">
      <c r="A35" t="e">
        <f>#REF!</f>
        <v>#REF!</v>
      </c>
      <c r="B35" s="52" t="s">
        <v>14</v>
      </c>
      <c r="C35" s="130">
        <f>ROUND(IF(C34=0,0,SUM(C34,C31,C32)*(1+C33)),0)</f>
        <v>636183</v>
      </c>
      <c r="D35" s="52" t="s">
        <v>14</v>
      </c>
      <c r="E35" s="130">
        <f>ROUND(IF(E34=0,0,SUM(E34,E31,E32)*(1+E33)),0)</f>
        <v>636183</v>
      </c>
      <c r="F35" s="52" t="s">
        <v>14</v>
      </c>
      <c r="G35" s="130">
        <f>ROUND(IF(G34=0,0,SUM(G34,G31,G32)*(1+G33)),0)</f>
        <v>645846</v>
      </c>
      <c r="H35" s="52" t="s">
        <v>14</v>
      </c>
      <c r="I35" s="130">
        <f>ROUND(IF(I34=0,0,SUM(I34,I31,I32)*(1+I33)),0)</f>
        <v>504607</v>
      </c>
      <c r="J35" s="52" t="s">
        <v>14</v>
      </c>
      <c r="K35" s="130">
        <f>ROUND(IF(K34=0,0,SUM(K34,K31,K32)*(1+K33)),0)</f>
        <v>446484</v>
      </c>
      <c r="L35" s="52" t="s">
        <v>14</v>
      </c>
      <c r="M35" s="130">
        <f>ROUND(IF(M34=0,0,SUM(M34,M31,M32)*(1+M33)),0)</f>
        <v>597437</v>
      </c>
      <c r="N35" s="52" t="s">
        <v>14</v>
      </c>
      <c r="O35" s="130">
        <f>ROUND(IF(O34=0,0,SUM(O34,O31,O32)*(1+O33)),0)</f>
        <v>135526</v>
      </c>
      <c r="P35" s="52" t="s">
        <v>14</v>
      </c>
      <c r="Q35" s="130">
        <f>ROUND(IF(Q34=0,0,SUM(Q34,Q31,Q32)*(1+Q33)),0)</f>
        <v>0</v>
      </c>
      <c r="R35" s="52" t="s">
        <v>14</v>
      </c>
      <c r="S35" s="130">
        <f>ROUND(IF(S34=0,0,SUM(S34,S31,S32)*(1+S33)),0)</f>
        <v>0</v>
      </c>
      <c r="T35" s="52" t="s">
        <v>14</v>
      </c>
      <c r="U35" s="130">
        <f>ROUND(IF(U34=0,0,SUM(U34,U31,U32)*(1+U33)),0)</f>
        <v>0</v>
      </c>
      <c r="AT35" s="16"/>
      <c r="AU35" s="16"/>
      <c r="AV35" s="16"/>
      <c r="AW35" s="16"/>
      <c r="AX35" s="16"/>
      <c r="AY35" s="16"/>
      <c r="AZ35" s="16"/>
      <c r="BA35" s="16"/>
      <c r="BB35" s="16"/>
      <c r="BC35" s="16"/>
    </row>
    <row r="36" spans="1:55" ht="17.25" customHeight="1">
      <c r="A36" t="str">
        <f t="shared" si="41"/>
        <v>описание</v>
      </c>
      <c r="B36" s="5" t="s">
        <v>78</v>
      </c>
      <c r="C36" s="142" t="str">
        <f>CONCATENATE(IF(C37&lt;&gt;"",C37,""),MID(B31,5,LEN(B31))," сх",C29,"-",B29,IF(MID(B31,5,LEN(B31))="КСО-211","",IF(B2&lt;&gt;"",CONCATENATE(", ",CHAR(10),IF('Сводная информация'!$J$2=0,"","Шинный разъединитель: "),B2),"")),IF(B3&lt;&gt;"",CONCATENATE(", ",CHAR(10),IF('Сводная информация'!$J$2=0,"","Вакуумный выключатель: "),B3),""),IF(B4&lt;&gt;"",CONCATENATE(", ",CHAR(10),IF('Сводная информация'!$J$2=0,"","Блок управления: "),B4),""),IF(B5&lt;&gt;"",CONCATENATE(", ",CHAR(10),IF('Сводная информация'!$J$2=0,"","Микропроцессорная защита: "),B5),""),IF(B6&lt;&gt;"",CONCATENATE(", ",CHAR(10),IF('Сводная информация'!$J$2=0,"","Трансформаторы тока: "),B6,"х"),""),IF(B7&lt;&gt;"",CONCATENATE(B7),""),IF(B8&lt;&gt;"",CONCATENATE(", ",CHAR(10),IF('Сводная информация'!$J$2=0,"","Линейный разъединитель: "),B8),""),IF(B9&lt;&gt;"",CONCATENATE(", ",CHAR(10),IF('Сводная информация'!$J$2=0,"","Прибор учёта: "),B9),""),IF(B10&lt;&gt;"",CONCATENATE(", ",CHAR(10),IF('Сводная информация'!$J$2=0,"","Трансформатор напряжения: "),B10),""),IF(B11&lt;&gt;"",CONCATENATE(", ",CHAR(10),IF('Сводная информация'!$J$2=0,"","Трансформатор собственных нужд: "),B11),""),IF(B12&lt;&gt;"",CONCATENATE(", ",CHAR(10),B12),""),IF(B13&lt;&gt;"",CONCATENATE(", ",CHAR(10),IF('Сводная информация'!$J$2=0,"","Ограничитель перенапряжения: "),"3х",B13),""),IF(B14&lt;&gt;"",CONCATENATE(", ",CHAR(10),B14),""),IF(B15&lt;&gt;"",CONCATENATE(", ",CHAR(10),B15),""),IF(B16&lt;&gt;"",CONCATENATE(", ",CHAR(10),IF('Сводная информация'!$J$2=0,"","Трансформатор тока нулевой последовательности: "),B16),""),IF(B17&lt;&gt;"",CONCATENATE(", ",CHAR(10),B17,"х",B18),""),IF(B19&lt;&gt;"",CONCATENATE(", ",CHAR(10),B19,"х",B20),""),IF(B21&lt;&gt;"",CONCATENATE(", ",CHAR(10),B21,"х",B22),""),IF(B24&lt;&gt;"",CONCATENATE(", ",CHAR(10),B23,"х",B24),""),IF(B26&lt;&gt;"",CONCATENATE(", ",CHAR(10),B25,"х",B26),""),IF(B28&lt;&gt;"",CONCATENATE(", ",CHAR(10),B27,"х",B28),""))</f>
        <v>КСО-204 сх7ВВ-Линия, 
Шинный разъединитель: РВФЗ-10/1000, 
Вакуумный выключатель: VM12-10-20/1000, 
Блок управления: CVM 1.2 ВЕАШ468389.001-01, 
Микропроцессорная защита: АГАТ 200. А, 
Трансформаторы тока: 3хТПЛ-10 200/5 0,5S/10P, 
Линейный разъединитель: РВЗ-10/1000, 
Прибор учёта: Меркурий 234 АRTM(Х)2-00 (D)PBR.G, 
Трансформатор тока нулевой последовательности: ТЗЛМ-1</v>
      </c>
      <c r="D36" s="5" t="str">
        <f>E36</f>
        <v>КСО-204 сх7ВВ-Линия, 
Шинный разъединитель: РВФЗ-10/1000, 
Вакуумный выключатель: VM12-10-20/1000, 
Блок управления: CVM 1.2 ВЕАШ468389.001-01, 
Микропроцессорная защита: АГАТ 200. А, 
Трансформаторы тока: 3хТПЛ-10 600/5 0,5S/10P, 
Линейный разъединитель: РВЗ-10/1000, 
Прибор учёта: Меркурий 234 АRTM(Х)2-00 (D)PBR.G, 
Трансформатор тока нулевой последовательности: ТЗЛМ-1</v>
      </c>
      <c r="E36" s="142" t="str">
        <f>CONCATENATE(IF(E37&lt;&gt;"",E37,""),MID(D31,5,LEN(D31))," сх",E29,"-",D29,IF(MID(D31,5,LEN(D31))="КСО-211","",IF(D2&lt;&gt;"",CONCATENATE(", ",CHAR(10),IF('Сводная информация'!$J$2=0,"","Шинный разъединитель: "),D2),"")),IF(D3&lt;&gt;"",CONCATENATE(", ",CHAR(10),IF('Сводная информация'!$J$2=0,"","Вакуумный выключатель: "),D3),""),IF(D4&lt;&gt;"",CONCATENATE(", ",CHAR(10),IF('Сводная информация'!$J$2=0,"","Блок управления: "),D4),""),IF(D5&lt;&gt;"",CONCATENATE(", ",CHAR(10),IF('Сводная информация'!$J$2=0,"","Микропроцессорная защита: "),D5),""),IF(D6&lt;&gt;"",CONCATENATE(", ",CHAR(10),IF('Сводная информация'!$J$2=0,"","Трансформаторы тока: "),D6,"х"),""),IF(D7&lt;&gt;"",CONCATENATE(D7),""),IF(D8&lt;&gt;"",CONCATENATE(", ",CHAR(10),IF('Сводная информация'!$J$2=0,"","Линейный разъединитель: "),D8),""),IF(D9&lt;&gt;"",CONCATENATE(", ",CHAR(10),IF('Сводная информация'!$J$2=0,"","Прибор учёта: "),D9),""),IF(D10&lt;&gt;"",CONCATENATE(", ",CHAR(10),IF('Сводная информация'!$J$2=0,"","Трансформатор напряжения: "),D10),""),IF(D11&lt;&gt;"",CONCATENATE(", ",CHAR(10),IF('Сводная информация'!$J$2=0,"","Трансформатор собственных нужд: "),D11),""),IF(D12&lt;&gt;"",CONCATENATE(", ",CHAR(10),D12),""),IF(D13&lt;&gt;"",CONCATENATE(", ",CHAR(10),IF('Сводная информация'!$J$2=0,"","Ограничитель перенапряжения: "),"3х",D13),""),IF(D14&lt;&gt;"",CONCATENATE(", ",CHAR(10),D14),""),IF(D15&lt;&gt;"",CONCATENATE(", ",CHAR(10),D15),""),IF(D16&lt;&gt;"",CONCATENATE(", ",CHAR(10),IF('Сводная информация'!$J$2=0,"","Трансформатор тока нулевой последовательности: "),D16),""),IF(D17&lt;&gt;"",CONCATENATE(", ",CHAR(10),D17,"х",D18),""),IF(D19&lt;&gt;"",CONCATENATE(", ",CHAR(10),D19,"х",D20),""),IF(D21&lt;&gt;"",CONCATENATE(", ",CHAR(10),D21,"х",D22),""),IF(D24&lt;&gt;"",CONCATENATE(", ",CHAR(10),D23,"х",D24),""),IF(D26&lt;&gt;"",CONCATENATE(", ",CHAR(10),D25,"х",D26),""),IF(D28&lt;&gt;"",CONCATENATE(", ",CHAR(10),D27,"х",D28),""))</f>
        <v>КСО-204 сх7ВВ-Линия, 
Шинный разъединитель: РВФЗ-10/1000, 
Вакуумный выключатель: VM12-10-20/1000, 
Блок управления: CVM 1.2 ВЕАШ468389.001-01, 
Микропроцессорная защита: АГАТ 200. А, 
Трансформаторы тока: 3хТПЛ-10 600/5 0,5S/10P, 
Линейный разъединитель: РВЗ-10/1000, 
Прибор учёта: Меркурий 234 АRTM(Х)2-00 (D)PBR.G, 
Трансформатор тока нулевой последовательности: ТЗЛМ-1</v>
      </c>
      <c r="F36" s="5" t="str">
        <f t="shared" ref="F36" si="59">G36</f>
        <v>КСО-204 сх7ВВ-Ввод, 
Шинный разъединитель: РВФЗ-10/1000, 
Вакуумный выключатель: VM12-10-20/1000, 
Блок управления: CVM 1.2 ВЕАШ468389.001-01, 
Микропроцессорная защита: АГАТ 200. АВ, 
Трансформаторы тока: 3хТПЛ-10 1000/5 0,5S/10P, 
Линейный разъединитель: РВЗ-10/1000, 
Прибор учёта: Меркурий 234 АRTM(Х)2-00 (D)PBR.G, 
Ограничитель перенапряжения: 3хОПН-П-6/7.2/10/550</v>
      </c>
      <c r="G36" s="142" t="str">
        <f>CONCATENATE(IF(G37&lt;&gt;"",G37,""),MID(F31,5,LEN(F31))," сх",G29,"-",F29,IF(MID(F31,5,LEN(F31))="КСО-211","",IF(F2&lt;&gt;"",CONCATENATE(", ",CHAR(10),IF('Сводная информация'!$J$2=0,"","Шинный разъединитель: "),F2),"")),IF(F3&lt;&gt;"",CONCATENATE(", ",CHAR(10),IF('Сводная информация'!$J$2=0,"","Вакуумный выключатель: "),F3),""),IF(F4&lt;&gt;"",CONCATENATE(", ",CHAR(10),IF('Сводная информация'!$J$2=0,"","Блок управления: "),F4),""),IF(F5&lt;&gt;"",CONCATENATE(", ",CHAR(10),IF('Сводная информация'!$J$2=0,"","Микропроцессорная защита: "),F5),""),IF(F6&lt;&gt;"",CONCATENATE(", ",CHAR(10),IF('Сводная информация'!$J$2=0,"","Трансформаторы тока: "),F6,"х"),""),IF(F7&lt;&gt;"",CONCATENATE(F7),""),IF(F8&lt;&gt;"",CONCATENATE(", ",CHAR(10),IF('Сводная информация'!$J$2=0,"","Линейный разъединитель: "),F8),""),IF(F9&lt;&gt;"",CONCATENATE(", ",CHAR(10),IF('Сводная информация'!$J$2=0,"","Прибор учёта: "),F9),""),IF(F10&lt;&gt;"",CONCATENATE(", ",CHAR(10),IF('Сводная информация'!$J$2=0,"","Трансформатор напряжения: "),F10),""),IF(F11&lt;&gt;"",CONCATENATE(", ",CHAR(10),IF('Сводная информация'!$J$2=0,"","Трансформатор собственных нужд: "),F11),""),IF(F12&lt;&gt;"",CONCATENATE(", ",CHAR(10),F12),""),IF(F13&lt;&gt;"",CONCATENATE(", ",CHAR(10),IF('Сводная информация'!$J$2=0,"","Ограничитель перенапряжения: "),"3х",F13),""),IF(F14&lt;&gt;"",CONCATENATE(", ",CHAR(10),F14),""),IF(F15&lt;&gt;"",CONCATENATE(", ",CHAR(10),F15),""),IF(F16&lt;&gt;"",CONCATENATE(", ",CHAR(10),IF('Сводная информация'!$J$2=0,"","Трансформатор тока нулевой последовательности: "),F16),""),IF(F17&lt;&gt;"",CONCATENATE(", ",CHAR(10),F17,"х",F18),""),IF(F19&lt;&gt;"",CONCATENATE(", ",CHAR(10),F19,"х",F20),""),IF(F21&lt;&gt;"",CONCATENATE(", ",CHAR(10),F21,"х",F22),""),IF(F24&lt;&gt;"",CONCATENATE(", ",CHAR(10),F23,"х",F24),""),IF(F26&lt;&gt;"",CONCATENATE(", ",CHAR(10),F25,"х",F26),""),IF(F28&lt;&gt;"",CONCATENATE(", ",CHAR(10),F27,"х",F28),""))</f>
        <v>КСО-204 сх7ВВ-Ввод, 
Шинный разъединитель: РВФЗ-10/1000, 
Вакуумный выключатель: VM12-10-20/1000, 
Блок управления: CVM 1.2 ВЕАШ468389.001-01, 
Микропроцессорная защита: АГАТ 200. АВ, 
Трансформаторы тока: 3хТПЛ-10 1000/5 0,5S/10P, 
Линейный разъединитель: РВЗ-10/1000, 
Прибор учёта: Меркурий 234 АRTM(Х)2-00 (D)PBR.G, 
Ограничитель перенапряжения: 3хОПН-П-6/7.2/10/550</v>
      </c>
      <c r="H36" s="5" t="str">
        <f t="shared" ref="H36" si="60">I36</f>
        <v>КСО-204 сх15-400-ТСН, 
Шинный разъединитель: РВФЗ-10/1000, 
Трансформатор собственных нужд: ТЛС-25, 
3хПатрон ПТ</v>
      </c>
      <c r="I36" s="142" t="str">
        <f>CONCATENATE(IF(I37&lt;&gt;"",I37,""),MID(H31,5,LEN(H31))," сх",I29,"-",H29,IF(MID(H31,5,LEN(H31))="КСО-211","",IF(H2&lt;&gt;"",CONCATENATE(", ",CHAR(10),IF('Сводная информация'!$J$2=0,"","Шинный разъединитель: "),H2),"")),IF(H3&lt;&gt;"",CONCATENATE(", ",CHAR(10),IF('Сводная информация'!$J$2=0,"","Вакуумный выключатель: "),H3),""),IF(H4&lt;&gt;"",CONCATENATE(", ",CHAR(10),IF('Сводная информация'!$J$2=0,"","Блок управления: "),H4),""),IF(H5&lt;&gt;"",CONCATENATE(", ",CHAR(10),IF('Сводная информация'!$J$2=0,"","Микропроцессорная защита: "),H5),""),IF(H6&lt;&gt;"",CONCATENATE(", ",CHAR(10),IF('Сводная информация'!$J$2=0,"","Трансформаторы тока: "),H6,"х"),""),IF(H7&lt;&gt;"",CONCATENATE(H7),""),IF(H8&lt;&gt;"",CONCATENATE(", ",CHAR(10),IF('Сводная информация'!$J$2=0,"","Линейный разъединитель: "),H8),""),IF(H9&lt;&gt;"",CONCATENATE(", ",CHAR(10),IF('Сводная информация'!$J$2=0,"","Прибор учёта: "),H9),""),IF(H10&lt;&gt;"",CONCATENATE(", ",CHAR(10),IF('Сводная информация'!$J$2=0,"","Трансформатор напряжения: "),H10),""),IF(H11&lt;&gt;"",CONCATENATE(", ",CHAR(10),IF('Сводная информация'!$J$2=0,"","Трансформатор собственных нужд: "),H11),""),IF(H12&lt;&gt;"",CONCATENATE(", ",CHAR(10),H12),""),IF(H13&lt;&gt;"",CONCATENATE(", ",CHAR(10),IF('Сводная информация'!$J$2=0,"","Ограничитель перенапряжения: "),"3х",H13),""),IF(H14&lt;&gt;"",CONCATENATE(", ",CHAR(10),H14),""),IF(H15&lt;&gt;"",CONCATENATE(", ",CHAR(10),H15),""),IF(H16&lt;&gt;"",CONCATENATE(", ",CHAR(10),IF('Сводная информация'!$J$2=0,"","Трансформатор тока нулевой последовательности: "),H16),""),IF(H17&lt;&gt;"",CONCATENATE(", ",CHAR(10),H17,"х",H18),""),IF(H19&lt;&gt;"",CONCATENATE(", ",CHAR(10),H19,"х",H20),""),IF(H21&lt;&gt;"",CONCATENATE(", ",CHAR(10),H21,"х",H22),""),IF(H24&lt;&gt;"",CONCATENATE(", ",CHAR(10),H23,"х",H24),""),IF(H26&lt;&gt;"",CONCATENATE(", ",CHAR(10),H25,"х",H26),""),IF(H28&lt;&gt;"",CONCATENATE(", ",CHAR(10),H27,"х",H28),""))</f>
        <v>КСО-204 сх15-400-ТСН, 
Шинный разъединитель: РВФЗ-10/1000, 
Трансформатор собственных нужд: ТЛС-25, 
3хПатрон ПТ</v>
      </c>
      <c r="J36" s="5" t="str">
        <f t="shared" ref="J36" si="61">K36</f>
        <v>КСО-204 сх13-400-ТН, 
Шинный разъединитель: РВФЗ-10/1000, 
Микропроцессорная защита: АГАТ 200. В, 
Линейный разъединитель: ЗР-10, 
Трансформатор напряжения: НАМИТ-6, 
Ограничитель перенапряжения: 3хОПН-П-6/7.2/10/550</v>
      </c>
      <c r="K36" s="142" t="str">
        <f>CONCATENATE(IF(K37&lt;&gt;"",K37,""),MID(J31,5,LEN(J31))," сх",K29,"-",J29,IF(MID(J31,5,LEN(J31))="КСО-211","",IF(J2&lt;&gt;"",CONCATENATE(", ",CHAR(10),IF('Сводная информация'!$J$2=0,"","Шинный разъединитель: "),J2),"")),IF(J3&lt;&gt;"",CONCATENATE(", ",CHAR(10),IF('Сводная информация'!$J$2=0,"","Вакуумный выключатель: "),J3),""),IF(J4&lt;&gt;"",CONCATENATE(", ",CHAR(10),IF('Сводная информация'!$J$2=0,"","Блок управления: "),J4),""),IF(J5&lt;&gt;"",CONCATENATE(", ",CHAR(10),IF('Сводная информация'!$J$2=0,"","Микропроцессорная защита: "),J5),""),IF(J6&lt;&gt;"",CONCATENATE(", ",CHAR(10),IF('Сводная информация'!$J$2=0,"","Трансформаторы тока: "),J6,"х"),""),IF(J7&lt;&gt;"",CONCATENATE(J7),""),IF(J8&lt;&gt;"",CONCATENATE(", ",CHAR(10),IF('Сводная информация'!$J$2=0,"","Линейный разъединитель: "),J8),""),IF(J9&lt;&gt;"",CONCATENATE(", ",CHAR(10),IF('Сводная информация'!$J$2=0,"","Прибор учёта: "),J9),""),IF(J10&lt;&gt;"",CONCATENATE(", ",CHAR(10),IF('Сводная информация'!$J$2=0,"","Трансформатор напряжения: "),J10),""),IF(J11&lt;&gt;"",CONCATENATE(", ",CHAR(10),IF('Сводная информация'!$J$2=0,"","Трансформатор собственных нужд: "),J11),""),IF(J12&lt;&gt;"",CONCATENATE(", ",CHAR(10),J12),""),IF(J13&lt;&gt;"",CONCATENATE(", ",CHAR(10),IF('Сводная информация'!$J$2=0,"","Ограничитель перенапряжения: "),"3х",J13),""),IF(J14&lt;&gt;"",CONCATENATE(", ",CHAR(10),J14),""),IF(J15&lt;&gt;"",CONCATENATE(", ",CHAR(10),J15),""),IF(J16&lt;&gt;"",CONCATENATE(", ",CHAR(10),IF('Сводная информация'!$J$2=0,"","Трансформатор тока нулевой последовательности: "),J16),""),IF(J17&lt;&gt;"",CONCATENATE(", ",CHAR(10),J17,"х",J18),""),IF(J19&lt;&gt;"",CONCATENATE(", ",CHAR(10),J19,"х",J20),""),IF(J21&lt;&gt;"",CONCATENATE(", ",CHAR(10),J21,"х",J22),""),IF(J24&lt;&gt;"",CONCATENATE(", ",CHAR(10),J23,"х",J24),""),IF(J26&lt;&gt;"",CONCATENATE(", ",CHAR(10),J25,"х",J26),""),IF(J28&lt;&gt;"",CONCATENATE(", ",CHAR(10),J27,"х",J28),""))</f>
        <v>КСО-204 сх13-400-ТН, 
Шинный разъединитель: РВФЗ-10/1000, 
Микропроцессорная защита: АГАТ 200. В, 
Линейный разъединитель: ЗР-10, 
Трансформатор напряжения: НАМИТ-6, 
Ограничитель перенапряжения: 3хОПН-П-6/7.2/10/550</v>
      </c>
      <c r="L36" s="5" t="str">
        <f t="shared" ref="L36" si="62">M36</f>
        <v>КСО-204 сх3ВВ-СВ, 
Шинный разъединитель: РВФЗ-10/1000, 
Вакуумный выключатель: VM12-10-20/1000, 
Блок управления: CVM 1.2 ВЕАШ468389.001-01, 
Микропроцессорная защита: АГАТ 200. АВ, 
Трансформаторы тока: 3хТПЛ-10 800/5 0,5S/10P</v>
      </c>
      <c r="M36" s="142" t="str">
        <f>CONCATENATE(IF(M37&lt;&gt;"",M37,""),MID(L31,5,LEN(L31))," сх",M29,"-",L29,IF(MID(L31,5,LEN(L31))="КСО-211","",IF(L2&lt;&gt;"",CONCATENATE(", ",CHAR(10),IF('Сводная информация'!$J$2=0,"","Шинный разъединитель: "),L2),"")),IF(L3&lt;&gt;"",CONCATENATE(", ",CHAR(10),IF('Сводная информация'!$J$2=0,"","Вакуумный выключатель: "),L3),""),IF(L4&lt;&gt;"",CONCATENATE(", ",CHAR(10),IF('Сводная информация'!$J$2=0,"","Блок управления: "),L4),""),IF(L5&lt;&gt;"",CONCATENATE(", ",CHAR(10),IF('Сводная информация'!$J$2=0,"","Микропроцессорная защита: "),L5),""),IF(L6&lt;&gt;"",CONCATENATE(", ",CHAR(10),IF('Сводная информация'!$J$2=0,"","Трансформаторы тока: "),L6,"х"),""),IF(L7&lt;&gt;"",CONCATENATE(L7),""),IF(L8&lt;&gt;"",CONCATENATE(", ",CHAR(10),IF('Сводная информация'!$J$2=0,"","Линейный разъединитель: "),L8),""),IF(L9&lt;&gt;"",CONCATENATE(", ",CHAR(10),IF('Сводная информация'!$J$2=0,"","Прибор учёта: "),L9),""),IF(L10&lt;&gt;"",CONCATENATE(", ",CHAR(10),IF('Сводная информация'!$J$2=0,"","Трансформатор напряжения: "),L10),""),IF(L11&lt;&gt;"",CONCATENATE(", ",CHAR(10),IF('Сводная информация'!$J$2=0,"","Трансформатор собственных нужд: "),L11),""),IF(L12&lt;&gt;"",CONCATENATE(", ",CHAR(10),L12),""),IF(L13&lt;&gt;"",CONCATENATE(", ",CHAR(10),IF('Сводная информация'!$J$2=0,"","Ограничитель перенапряжения: "),"3х",L13),""),IF(L14&lt;&gt;"",CONCATENATE(", ",CHAR(10),L14),""),IF(L15&lt;&gt;"",CONCATENATE(", ",CHAR(10),L15),""),IF(L16&lt;&gt;"",CONCATENATE(", ",CHAR(10),IF('Сводная информация'!$J$2=0,"","Трансформатор тока нулевой последовательности: "),L16),""),IF(L17&lt;&gt;"",CONCATENATE(", ",CHAR(10),L17,"х",L18),""),IF(L19&lt;&gt;"",CONCATENATE(", ",CHAR(10),L19,"х",L20),""),IF(L21&lt;&gt;"",CONCATENATE(", ",CHAR(10),L21,"х",L22),""),IF(L24&lt;&gt;"",CONCATENATE(", ",CHAR(10),L23,"х",L24),""),IF(L26&lt;&gt;"",CONCATENATE(", ",CHAR(10),L25,"х",L26),""),IF(L28&lt;&gt;"",CONCATENATE(", ",CHAR(10),L27,"х",L28),""))</f>
        <v>КСО-204 сх3ВВ-СВ, 
Шинный разъединитель: РВФЗ-10/1000, 
Вакуумный выключатель: VM12-10-20/1000, 
Блок управления: CVM 1.2 ВЕАШ468389.001-01, 
Микропроцессорная защита: АГАТ 200. АВ, 
Трансформаторы тока: 3хТПЛ-10 800/5 0,5S/10P</v>
      </c>
      <c r="N36" s="5" t="str">
        <f t="shared" ref="N36" si="63">O36</f>
        <v>КСО-204 сх24-1000-СР, 
Шинный разъединитель: РВФЗ-10/1000</v>
      </c>
      <c r="O36" s="142" t="str">
        <f>CONCATENATE(IF(O37&lt;&gt;"",O37,""),MID(N31,5,LEN(N31))," сх",O29,"-",N29,IF(MID(N31,5,LEN(N31))="КСО-211","",IF(N2&lt;&gt;"",CONCATENATE(", ",CHAR(10),IF('Сводная информация'!$J$2=0,"","Шинный разъединитель: "),N2),"")),IF(N3&lt;&gt;"",CONCATENATE(", ",CHAR(10),IF('Сводная информация'!$J$2=0,"","Вакуумный выключатель: "),N3),""),IF(N4&lt;&gt;"",CONCATENATE(", ",CHAR(10),IF('Сводная информация'!$J$2=0,"","Блок управления: "),N4),""),IF(N5&lt;&gt;"",CONCATENATE(", ",CHAR(10),IF('Сводная информация'!$J$2=0,"","Микропроцессорная защита: "),N5),""),IF(N6&lt;&gt;"",CONCATENATE(", ",CHAR(10),IF('Сводная информация'!$J$2=0,"","Трансформаторы тока: "),N6,"х"),""),IF(N7&lt;&gt;"",CONCATENATE(N7),""),IF(N8&lt;&gt;"",CONCATENATE(", ",CHAR(10),IF('Сводная информация'!$J$2=0,"","Линейный разъединитель: "),N8),""),IF(N9&lt;&gt;"",CONCATENATE(", ",CHAR(10),IF('Сводная информация'!$J$2=0,"","Прибор учёта: "),N9),""),IF(N10&lt;&gt;"",CONCATENATE(", ",CHAR(10),IF('Сводная информация'!$J$2=0,"","Трансформатор напряжения: "),N10),""),IF(N11&lt;&gt;"",CONCATENATE(", ",CHAR(10),IF('Сводная информация'!$J$2=0,"","Трансформатор собственных нужд: "),N11),""),IF(N12&lt;&gt;"",CONCATENATE(", ",CHAR(10),N12),""),IF(N13&lt;&gt;"",CONCATENATE(", ",CHAR(10),IF('Сводная информация'!$J$2=0,"","Ограничитель перенапряжения: "),"3х",N13),""),IF(N14&lt;&gt;"",CONCATENATE(", ",CHAR(10),N14),""),IF(N15&lt;&gt;"",CONCATENATE(", ",CHAR(10),N15),""),IF(N16&lt;&gt;"",CONCATENATE(", ",CHAR(10),IF('Сводная информация'!$J$2=0,"","Трансформатор тока нулевой последовательности: "),N16),""),IF(N17&lt;&gt;"",CONCATENATE(", ",CHAR(10),N17,"х",N18),""),IF(N19&lt;&gt;"",CONCATENATE(", ",CHAR(10),N19,"х",N20),""),IF(N21&lt;&gt;"",CONCATENATE(", ",CHAR(10),N21,"х",N22),""),IF(N24&lt;&gt;"",CONCATENATE(", ",CHAR(10),N23,"х",N24),""),IF(N26&lt;&gt;"",CONCATENATE(", ",CHAR(10),N25,"х",N26),""),IF(N28&lt;&gt;"",CONCATENATE(", ",CHAR(10),N27,"х",N28),""))</f>
        <v>КСО-204 сх24-1000-СР, 
Шинный разъединитель: РВФЗ-10/1000</v>
      </c>
      <c r="P36" s="5" t="e">
        <f t="shared" ref="P36" si="64">Q36</f>
        <v>#N/A</v>
      </c>
      <c r="Q36" s="142" t="e">
        <f>CONCATENATE(IF(Q37&lt;&gt;"",Q37,""),MID(P31,5,LEN(P31))," сх",Q29,"-",P29,IF(MID(P31,5,LEN(P31))="КСО-211","",IF(P2&lt;&gt;"",CONCATENATE(", ",CHAR(10),IF('Сводная информация'!$J$2=0,"","Шинный разъединитель: "),P2),"")),IF(P3&lt;&gt;"",CONCATENATE(", ",CHAR(10),IF('Сводная информация'!$J$2=0,"","Вакуумный выключатель: "),P3),""),IF(P4&lt;&gt;"",CONCATENATE(", ",CHAR(10),IF('Сводная информация'!$J$2=0,"","Блок управления: "),P4),""),IF(P5&lt;&gt;"",CONCATENATE(", ",CHAR(10),IF('Сводная информация'!$J$2=0,"","Микропроцессорная защита: "),P5),""),IF(P6&lt;&gt;"",CONCATENATE(", ",CHAR(10),IF('Сводная информация'!$J$2=0,"","Трансформаторы тока: "),P6,"х"),""),IF(P7&lt;&gt;"",CONCATENATE(P7),""),IF(P8&lt;&gt;"",CONCATENATE(", ",CHAR(10),IF('Сводная информация'!$J$2=0,"","Линейный разъединитель: "),P8),""),IF(P9&lt;&gt;"",CONCATENATE(", ",CHAR(10),IF('Сводная информация'!$J$2=0,"","Прибор учёта: "),P9),""),IF(P10&lt;&gt;"",CONCATENATE(", ",CHAR(10),IF('Сводная информация'!$J$2=0,"","Трансформатор напряжения: "),P10),""),IF(P11&lt;&gt;"",CONCATENATE(", ",CHAR(10),IF('Сводная информация'!$J$2=0,"","Трансформатор собственных нужд: "),P11),""),IF(P12&lt;&gt;"",CONCATENATE(", ",CHAR(10),P12),""),IF(P13&lt;&gt;"",CONCATENATE(", ",CHAR(10),IF('Сводная информация'!$J$2=0,"","Ограничитель перенапряжения: "),"3х",P13),""),IF(P14&lt;&gt;"",CONCATENATE(", ",CHAR(10),P14),""),IF(P15&lt;&gt;"",CONCATENATE(", ",CHAR(10),P15),""),IF(P16&lt;&gt;"",CONCATENATE(", ",CHAR(10),IF('Сводная информация'!$J$2=0,"","Трансформатор тока нулевой последовательности: "),P16),""),IF(P17&lt;&gt;"",CONCATENATE(", ",CHAR(10),P17,"х",P18),""),IF(P19&lt;&gt;"",CONCATENATE(", ",CHAR(10),P19,"х",P20),""),IF(P21&lt;&gt;"",CONCATENATE(", ",CHAR(10),P21,"х",P22),""),IF(P24&lt;&gt;"",CONCATENATE(", ",CHAR(10),P23,"х",P24),""),IF(P26&lt;&gt;"",CONCATENATE(", ",CHAR(10),P25,"х",P26),""),IF(P28&lt;&gt;"",CONCATENATE(", ",CHAR(10),P27,"х",P28),""))</f>
        <v>#N/A</v>
      </c>
      <c r="R36" s="5" t="e">
        <f t="shared" ref="R36" si="65">S36</f>
        <v>#N/A</v>
      </c>
      <c r="S36" s="142" t="e">
        <f>CONCATENATE(IF(S37&lt;&gt;"",S37,""),MID(R31,5,LEN(R31))," сх",S29,"-",R29,IF(MID(R31,5,LEN(R31))="КСО-211","",IF(R2&lt;&gt;"",CONCATENATE(", ",CHAR(10),IF('Сводная информация'!$J$2=0,"","Шинный разъединитель: "),R2),"")),IF(R3&lt;&gt;"",CONCATENATE(", ",CHAR(10),IF('Сводная информация'!$J$2=0,"","Вакуумный выключатель: "),R3),""),IF(R4&lt;&gt;"",CONCATENATE(", ",CHAR(10),IF('Сводная информация'!$J$2=0,"","Блок управления: "),R4),""),IF(R5&lt;&gt;"",CONCATENATE(", ",CHAR(10),IF('Сводная информация'!$J$2=0,"","Микропроцессорная защита: "),R5),""),IF(R6&lt;&gt;"",CONCATENATE(", ",CHAR(10),IF('Сводная информация'!$J$2=0,"","Трансформаторы тока: "),R6,"х"),""),IF(R7&lt;&gt;"",CONCATENATE(R7),""),IF(R8&lt;&gt;"",CONCATENATE(", ",CHAR(10),IF('Сводная информация'!$J$2=0,"","Линейный разъединитель: "),R8),""),IF(R9&lt;&gt;"",CONCATENATE(", ",CHAR(10),IF('Сводная информация'!$J$2=0,"","Прибор учёта: "),R9),""),IF(R10&lt;&gt;"",CONCATENATE(", ",CHAR(10),IF('Сводная информация'!$J$2=0,"","Трансформатор напряжения: "),R10),""),IF(R11&lt;&gt;"",CONCATENATE(", ",CHAR(10),IF('Сводная информация'!$J$2=0,"","Трансформатор собственных нужд: "),R11),""),IF(R12&lt;&gt;"",CONCATENATE(", ",CHAR(10),R12),""),IF(R13&lt;&gt;"",CONCATENATE(", ",CHAR(10),IF('Сводная информация'!$J$2=0,"","Ограничитель перенапряжения: "),"3х",R13),""),IF(R14&lt;&gt;"",CONCATENATE(", ",CHAR(10),R14),""),IF(R15&lt;&gt;"",CONCATENATE(", ",CHAR(10),R15),""),IF(R16&lt;&gt;"",CONCATENATE(", ",CHAR(10),IF('Сводная информация'!$J$2=0,"","Трансформатор тока нулевой последовательности: "),R16),""),IF(R17&lt;&gt;"",CONCATENATE(", ",CHAR(10),R17,"х",R18),""),IF(R19&lt;&gt;"",CONCATENATE(", ",CHAR(10),R19,"х",R20),""),IF(R21&lt;&gt;"",CONCATENATE(", ",CHAR(10),R21,"х",R22),""),IF(R24&lt;&gt;"",CONCATENATE(", ",CHAR(10),R23,"х",R24),""),IF(R26&lt;&gt;"",CONCATENATE(", ",CHAR(10),R25,"х",R26),""),IF(R28&lt;&gt;"",CONCATENATE(", ",CHAR(10),R27,"х",R28),""))</f>
        <v>#N/A</v>
      </c>
      <c r="T36" s="5" t="e">
        <f t="shared" ref="T36" si="66">U36</f>
        <v>#N/A</v>
      </c>
      <c r="U36" s="142" t="e">
        <f>CONCATENATE(IF(U37&lt;&gt;"",U37,""),MID(T31,5,LEN(T31))," сх",U29,"-",T29,IF(MID(T31,5,LEN(T31))="КСО-211","",IF(T2&lt;&gt;"",CONCATENATE(", ",CHAR(10),IF('Сводная информация'!$J$2=0,"","Шинный разъединитель: "),T2),"")),IF(T3&lt;&gt;"",CONCATENATE(", ",CHAR(10),IF('Сводная информация'!$J$2=0,"","Вакуумный выключатель: "),T3),""),IF(T4&lt;&gt;"",CONCATENATE(", ",CHAR(10),IF('Сводная информация'!$J$2=0,"","Блок управления: "),T4),""),IF(T5&lt;&gt;"",CONCATENATE(", ",CHAR(10),IF('Сводная информация'!$J$2=0,"","Микропроцессорная защита: "),T5),""),IF(T6&lt;&gt;"",CONCATENATE(", ",CHAR(10),IF('Сводная информация'!$J$2=0,"","Трансформаторы тока: "),T6,"х"),""),IF(T7&lt;&gt;"",CONCATENATE(T7),""),IF(T8&lt;&gt;"",CONCATENATE(", ",CHAR(10),IF('Сводная информация'!$J$2=0,"","Линейный разъединитель: "),T8),""),IF(T9&lt;&gt;"",CONCATENATE(", ",CHAR(10),IF('Сводная информация'!$J$2=0,"","Прибор учёта: "),T9),""),IF(T10&lt;&gt;"",CONCATENATE(", ",CHAR(10),IF('Сводная информация'!$J$2=0,"","Трансформатор напряжения: "),T10),""),IF(T11&lt;&gt;"",CONCATENATE(", ",CHAR(10),IF('Сводная информация'!$J$2=0,"","Трансформатор собственных нужд: "),T11),""),IF(T12&lt;&gt;"",CONCATENATE(", ",CHAR(10),T12),""),IF(T13&lt;&gt;"",CONCATENATE(", ",CHAR(10),IF('Сводная информация'!$J$2=0,"","Ограничитель перенапряжения: "),"3х",T13),""),IF(T14&lt;&gt;"",CONCATENATE(", ",CHAR(10),T14),""),IF(T15&lt;&gt;"",CONCATENATE(", ",CHAR(10),T15),""),IF(T16&lt;&gt;"",CONCATENATE(", ",CHAR(10),IF('Сводная информация'!$J$2=0,"","Трансформатор тока нулевой последовательности: "),T16),""),IF(T17&lt;&gt;"",CONCATENATE(", ",CHAR(10),T17,"х",T18),""),IF(T19&lt;&gt;"",CONCATENATE(", ",CHAR(10),T19,"х",T20),""),IF(T21&lt;&gt;"",CONCATENATE(", ",CHAR(10),T21,"х",T22),""),IF(T24&lt;&gt;"",CONCATENATE(", ",CHAR(10),T23,"х",T24),""),IF(T26&lt;&gt;"",CONCATENATE(", ",CHAR(10),T25,"х",T26),""),IF(T28&lt;&gt;"",CONCATENATE(", ",CHAR(10),T27,"х",T28),""))</f>
        <v>#N/A</v>
      </c>
      <c r="V36" s="5"/>
      <c r="AH36" t="str">
        <f>CONCATENATE(AH2,AH3,AH6,AH8,AH10,AH11,AH12,AH13,AH15)</f>
        <v/>
      </c>
      <c r="AT36" s="16">
        <f t="shared" ref="AT36:BC36" ca="1" si="67">IFERROR(TODAY()-AT7,0)</f>
        <v>436</v>
      </c>
      <c r="AU36" s="16">
        <f t="shared" ca="1" si="67"/>
        <v>436</v>
      </c>
      <c r="AV36" s="16">
        <f t="shared" ca="1" si="67"/>
        <v>436</v>
      </c>
      <c r="AW36" s="16">
        <f t="shared" ca="1" si="67"/>
        <v>0</v>
      </c>
      <c r="AX36" s="16">
        <f t="shared" ca="1" si="67"/>
        <v>0</v>
      </c>
      <c r="AY36" s="16">
        <f t="shared" ca="1" si="67"/>
        <v>436</v>
      </c>
      <c r="AZ36" s="16">
        <f t="shared" ca="1" si="67"/>
        <v>0</v>
      </c>
      <c r="BA36" s="16">
        <f t="shared" ca="1" si="67"/>
        <v>0</v>
      </c>
      <c r="BB36" s="16">
        <f t="shared" ca="1" si="67"/>
        <v>0</v>
      </c>
      <c r="BC36" s="16">
        <f t="shared" ca="1" si="67"/>
        <v>0</v>
      </c>
    </row>
    <row r="37" spans="1:55">
      <c r="A37" t="str">
        <f t="shared" si="41"/>
        <v>Проверка цен</v>
      </c>
      <c r="B37" t="s">
        <v>91</v>
      </c>
      <c r="C37" t="str">
        <f>IF(OR(AND(B2&lt;&gt;"",C2=0),AND(B3&lt;&gt;"",C3=0),AND(B4&lt;&gt;"",C4=0),AND(B5&lt;&gt;"",C5=0),AND(B6&lt;&gt;"",C6=0),AND(B7&lt;&gt;"",C7=0),AND(B8&lt;&gt;"",C8=0),AND(B9&lt;&gt;"",C9=0),AND(B10&lt;&gt;"",C10=0),AND(B11&lt;&gt;"",C11=0),AND(B12&lt;&gt;"",C12=0),AND(B13&lt;&gt;"",C13=0),AND(B14&lt;&gt;"",C14=0),AND(B15&lt;&gt;"",C15=0),AND(B16&lt;&gt;"",C16=0),AND(B17&lt;&gt;"",B17&gt;1,C17=0),AND(B18&lt;&gt;"",C18=0),AND(B19&lt;&gt;"",B19&gt;1,C19=0),AND(B20&lt;&gt;"",C20=0),AND(B21&lt;&gt;"",B21&gt;1,C21=0),AND(B22&lt;&gt;"",C22=0),AND(B30&lt;&gt;"",C30=0),AND(B31&lt;&gt;"",C31=0),AND(B32&lt;&gt;"",B29&lt;&gt;"СР",C32=0),AND(B29="ТН",C2=0),AND(B29="ТСН",C2=0)),"ОШИБКА ЦЕНЫ","")</f>
        <v/>
      </c>
      <c r="D37" t="str">
        <f t="shared" ref="D37:F37" si="68">E37</f>
        <v/>
      </c>
      <c r="E37" t="str">
        <f>IF(OR(AND(D2&lt;&gt;"",E2=0),AND(D3&lt;&gt;"",E3=0),AND(D4&lt;&gt;"",E4=0),AND(D5&lt;&gt;"",E5=0),AND(D6&lt;&gt;"",E6=0),AND(D7&lt;&gt;"",E7=0),AND(D8&lt;&gt;"",E8=0),AND(D9&lt;&gt;"",E9=0),AND(D10&lt;&gt;"",E10=0),AND(D11&lt;&gt;"",E11=0),AND(D12&lt;&gt;"",E12=0),AND(D13&lt;&gt;"",E13=0),AND(D14&lt;&gt;"",E14=0),AND(D15&lt;&gt;"",E15=0),AND(D16&lt;&gt;"",E16=0),AND(D17&lt;&gt;"",D17&gt;1,E17=0),AND(D18&lt;&gt;"",E18=0),AND(D19&lt;&gt;"",D19&gt;1,E19=0),AND(D20&lt;&gt;"",E20=0),AND(D21&lt;&gt;"",D21&gt;1,E21=0),AND(D22&lt;&gt;"",E22=0),AND(D30&lt;&gt;"",E30=0),AND(D31&lt;&gt;"",E31=0),AND(D32&lt;&gt;"",D29&lt;&gt;"СР",E32=0),AND(D29="ТН",E2=0),AND(D29="ТСН",E2=0)),"ОШИБКА ЦЕНЫ","")</f>
        <v/>
      </c>
      <c r="F37" t="str">
        <f t="shared" si="68"/>
        <v/>
      </c>
      <c r="G37" t="str">
        <f>IF(OR(AND(F2&lt;&gt;"",G2=0),AND(F3&lt;&gt;"",G3=0),AND(F4&lt;&gt;"",G4=0),AND(F5&lt;&gt;"",G5=0),AND(F6&lt;&gt;"",G6=0),AND(F7&lt;&gt;"",G7=0),AND(F8&lt;&gt;"",G8=0),AND(F9&lt;&gt;"",G9=0),AND(F10&lt;&gt;"",G10=0),AND(F11&lt;&gt;"",G11=0),AND(F12&lt;&gt;"",G12=0),AND(F13&lt;&gt;"",G13=0),AND(F14&lt;&gt;"",G14=0),AND(F15&lt;&gt;"",G15=0),AND(F16&lt;&gt;"",G16=0),AND(F17&lt;&gt;"",F17&gt;1,G17=0),AND(F18&lt;&gt;"",G18=0),AND(F19&lt;&gt;"",F19&gt;1,G19=0),AND(F20&lt;&gt;"",G20=0),AND(F21&lt;&gt;"",F21&gt;1,G21=0),AND(F22&lt;&gt;"",G22=0),AND(F30&lt;&gt;"",G30=0),AND(F31&lt;&gt;"",G31=0),AND(F32&lt;&gt;"",F29&lt;&gt;"СР",G32=0),AND(F29="ТН",G2=0),AND(F29="ТСН",G2=0)),"ОШИБКА ЦЕНЫ","")</f>
        <v/>
      </c>
      <c r="H37" t="str">
        <f>I37</f>
        <v/>
      </c>
      <c r="I37" t="str">
        <f>IF(OR(AND(H2&lt;&gt;"",I2=0),AND(H3&lt;&gt;"",I3=0),AND(H4&lt;&gt;"",I4=0),AND(H5&lt;&gt;"",I5=0),AND(H6&lt;&gt;"",I6=0),AND(H7&lt;&gt;"",I7=0),AND(H8&lt;&gt;"",I8=0),AND(H9&lt;&gt;"",I9=0),AND(H10&lt;&gt;"",I10=0),AND(H11&lt;&gt;"",I11=0),AND(H12&lt;&gt;"",I12=0),AND(H13&lt;&gt;"",I13=0),AND(H14&lt;&gt;"",I14=0),AND(H15&lt;&gt;"",I15=0),AND(H16&lt;&gt;"",I16=0),AND(H17&lt;&gt;"",H17&gt;1,I17=0),AND(H18&lt;&gt;"",I18=0),AND(H19&lt;&gt;"",H19&gt;1,I19=0),AND(H20&lt;&gt;"",I20=0),AND(H21&lt;&gt;"",H21&gt;1,I21=0),AND(H22&lt;&gt;"",I22=0),AND(H30&lt;&gt;"",I30=0),AND(H31&lt;&gt;"",I31=0),AND(H32&lt;&gt;"",H29&lt;&gt;"СР",I32=0),AND(H29="ТН",I2=0),AND(H29="ТСН",I2=0)),"ОШИБКА ЦЕНЫ","")</f>
        <v/>
      </c>
      <c r="J37" t="str">
        <f>K37</f>
        <v/>
      </c>
      <c r="K37" t="str">
        <f>IF(OR(AND(J2&lt;&gt;"",K2=0),AND(J3&lt;&gt;"",K3=0),AND(J4&lt;&gt;"",K4=0),AND(J5&lt;&gt;"",K5=0),AND(J6&lt;&gt;"",K6=0),AND(J7&lt;&gt;"",K7=0),AND(J8&lt;&gt;"",K8=0),AND(J9&lt;&gt;"",K9=0),AND(J10&lt;&gt;"",K10=0),AND(J11&lt;&gt;"",K11=0),AND(J12&lt;&gt;"",K12=0),AND(J13&lt;&gt;"",K13=0),AND(J14&lt;&gt;"",K14=0),AND(J15&lt;&gt;"",K15=0),AND(J16&lt;&gt;"",K16=0),AND(J17&lt;&gt;"",J17&gt;1,K17=0),AND(J18&lt;&gt;"",K18=0),AND(J19&lt;&gt;"",J19&gt;1,K19=0),AND(J20&lt;&gt;"",K20=0),AND(J21&lt;&gt;"",J21&gt;1,K21=0),AND(J22&lt;&gt;"",K22=0),AND(J30&lt;&gt;"",K30=0),AND(J31&lt;&gt;"",K31=0),AND(J32&lt;&gt;"",J29&lt;&gt;"СР",K32=0),AND(J29="ТН",K2=0),AND(J29="ТСН",K2=0)),"ОШИБКА ЦЕНЫ","")</f>
        <v/>
      </c>
      <c r="L37" t="str">
        <f>M37</f>
        <v/>
      </c>
      <c r="M37" t="str">
        <f>IF(OR(AND(L2&lt;&gt;"",M2=0),AND(L3&lt;&gt;"",M3=0),AND(L4&lt;&gt;"",M4=0),AND(L5&lt;&gt;"",M5=0),AND(L6&lt;&gt;"",M6=0),AND(L7&lt;&gt;"",M7=0),AND(L8&lt;&gt;"",M8=0),AND(L9&lt;&gt;"",M9=0),AND(L10&lt;&gt;"",M10=0),AND(L11&lt;&gt;"",M11=0),AND(L12&lt;&gt;"",M12=0),AND(L13&lt;&gt;"",M13=0),AND(L14&lt;&gt;"",M14=0),AND(L15&lt;&gt;"",M15=0),AND(L16&lt;&gt;"",M16=0),AND(L17&lt;&gt;"",L17&gt;1,M17=0),AND(L18&lt;&gt;"",M18=0),AND(L19&lt;&gt;"",L19&gt;1,M19=0),AND(L20&lt;&gt;"",M20=0),AND(L21&lt;&gt;"",L21&gt;1,M21=0),AND(L22&lt;&gt;"",M22=0),AND(L30&lt;&gt;"",M30=0),AND(L31&lt;&gt;"",M31=0),AND(L32&lt;&gt;"",L29&lt;&gt;"СР",M32=0),AND(L29="ТН",M2=0),AND(L29="ТСН",M2=0)),"ОШИБКА ЦЕНЫ","")</f>
        <v/>
      </c>
      <c r="N37" t="str">
        <f>O37</f>
        <v/>
      </c>
      <c r="O37" t="str">
        <f>IF(OR(AND(N2&lt;&gt;"",O2=0),AND(N3&lt;&gt;"",O3=0),AND(N4&lt;&gt;"",O4=0),AND(N5&lt;&gt;"",O5=0),AND(N6&lt;&gt;"",O6=0),AND(N7&lt;&gt;"",O7=0),AND(N8&lt;&gt;"",O8=0),AND(N9&lt;&gt;"",O9=0),AND(N10&lt;&gt;"",O10=0),AND(N11&lt;&gt;"",O11=0),AND(N12&lt;&gt;"",O12=0),AND(N13&lt;&gt;"",O13=0),AND(N14&lt;&gt;"",O14=0),AND(N15&lt;&gt;"",O15=0),AND(N16&lt;&gt;"",O16=0),AND(N17&lt;&gt;"",N17&gt;1,O17=0),AND(N18&lt;&gt;"",O18=0),AND(N19&lt;&gt;"",N19&gt;1,O19=0),AND(N20&lt;&gt;"",O20=0),AND(N21&lt;&gt;"",N21&gt;1,O21=0),AND(N22&lt;&gt;"",O22=0),AND(N30&lt;&gt;"",O30=0),AND(N31&lt;&gt;"",O31=0),AND(N32&lt;&gt;"",N29&lt;&gt;"СР",O32=0),AND(N29="ТН",O2=0),AND(N29="ТСН",O2=0)),"ОШИБКА ЦЕНЫ","")</f>
        <v/>
      </c>
      <c r="P37" t="e">
        <f>Q37</f>
        <v>#N/A</v>
      </c>
      <c r="Q37" t="e">
        <f>IF(OR(AND(P2&lt;&gt;"",Q2=0),AND(P3&lt;&gt;"",Q3=0),AND(P4&lt;&gt;"",Q4=0),AND(P5&lt;&gt;"",Q5=0),AND(P6&lt;&gt;"",Q6=0),AND(P7&lt;&gt;"",Q7=0),AND(P8&lt;&gt;"",Q8=0),AND(P9&lt;&gt;"",Q9=0),AND(P10&lt;&gt;"",Q10=0),AND(P11&lt;&gt;"",Q11=0),AND(P12&lt;&gt;"",Q12=0),AND(P13&lt;&gt;"",Q13=0),AND(P14&lt;&gt;"",Q14=0),AND(P15&lt;&gt;"",Q15=0),AND(P16&lt;&gt;"",Q16=0),AND(P17&lt;&gt;"",P17&gt;1,Q17=0),AND(P18&lt;&gt;"",Q18=0),AND(P19&lt;&gt;"",P19&gt;1,Q19=0),AND(P20&lt;&gt;"",Q20=0),AND(P21&lt;&gt;"",P21&gt;1,Q21=0),AND(P22&lt;&gt;"",Q22=0),AND(P30&lt;&gt;"",Q30=0),AND(P31&lt;&gt;"",Q31=0),AND(P32&lt;&gt;"",P29&lt;&gt;"СР",Q32=0),AND(P29="ТН",Q2=0),AND(P29="ТСН",Q2=0)),"ОШИБКА ЦЕНЫ","")</f>
        <v>#N/A</v>
      </c>
      <c r="R37" t="e">
        <f>S37</f>
        <v>#N/A</v>
      </c>
      <c r="S37" t="e">
        <f>IF(OR(AND(R2&lt;&gt;"",S2=0),AND(R3&lt;&gt;"",S3=0),AND(R4&lt;&gt;"",S4=0),AND(R5&lt;&gt;"",S5=0),AND(R6&lt;&gt;"",S6=0),AND(R7&lt;&gt;"",S7=0),AND(R8&lt;&gt;"",S8=0),AND(R9&lt;&gt;"",S9=0),AND(R10&lt;&gt;"",S10=0),AND(R11&lt;&gt;"",S11=0),AND(R12&lt;&gt;"",S12=0),AND(R13&lt;&gt;"",S13=0),AND(R14&lt;&gt;"",S14=0),AND(R15&lt;&gt;"",S15=0),AND(R16&lt;&gt;"",S16=0),AND(R17&lt;&gt;"",R17&gt;1,S17=0),AND(R18&lt;&gt;"",S18=0),AND(R19&lt;&gt;"",R19&gt;1,S19=0),AND(R20&lt;&gt;"",S20=0),AND(R21&lt;&gt;"",R21&gt;1,S21=0),AND(R22&lt;&gt;"",S22=0),AND(R30&lt;&gt;"",S30=0),AND(R31&lt;&gt;"",S31=0),AND(R32&lt;&gt;"",R29&lt;&gt;"СР",S32=0),AND(R29="ТН",S2=0),AND(R29="ТСН",S2=0)),"ОШИБКА ЦЕНЫ","")</f>
        <v>#N/A</v>
      </c>
      <c r="T37" t="e">
        <f>U37</f>
        <v>#N/A</v>
      </c>
      <c r="U37" t="e">
        <f>IF(OR(AND(T2&lt;&gt;"",U2=0),AND(T3&lt;&gt;"",U3=0),AND(T4&lt;&gt;"",U4=0),AND(T5&lt;&gt;"",U5=0),AND(T6&lt;&gt;"",U6=0),AND(T7&lt;&gt;"",U7=0),AND(T8&lt;&gt;"",U8=0),AND(T9&lt;&gt;"",U9=0),AND(T10&lt;&gt;"",U10=0),AND(T11&lt;&gt;"",U11=0),AND(T12&lt;&gt;"",U12=0),AND(T13&lt;&gt;"",U13=0),AND(T14&lt;&gt;"",U14=0),AND(T15&lt;&gt;"",U15=0),AND(T16&lt;&gt;"",U16=0),AND(T17&lt;&gt;"",T17&gt;1,U17=0),AND(T18&lt;&gt;"",U18=0),AND(T19&lt;&gt;"",T19&gt;1,U19=0),AND(T20&lt;&gt;"",U20=0),AND(T21&lt;&gt;"",T21&gt;1,U21=0),AND(T22&lt;&gt;"",U22=0),AND(T30&lt;&gt;"",U30=0),AND(T31&lt;&gt;"",U31=0),AND(T32&lt;&gt;"",T29&lt;&gt;"СР",U32=0),AND(T29="ТН",U2=0),AND(T29="ТСН",U2=0)),"ОШИБКА ЦЕНЫ","")</f>
        <v>#N/A</v>
      </c>
      <c r="AT37" s="16">
        <f t="shared" ref="AT37:BC37" ca="1" si="69">IFERROR(TODAY()-AT8,0)</f>
        <v>370</v>
      </c>
      <c r="AU37" s="16">
        <f t="shared" ca="1" si="69"/>
        <v>370</v>
      </c>
      <c r="AV37" s="16">
        <f t="shared" ca="1" si="69"/>
        <v>370</v>
      </c>
      <c r="AW37" s="16">
        <f t="shared" ca="1" si="69"/>
        <v>0</v>
      </c>
      <c r="AX37" s="16">
        <f t="shared" ca="1" si="69"/>
        <v>370</v>
      </c>
      <c r="AY37" s="16">
        <f t="shared" ca="1" si="69"/>
        <v>0</v>
      </c>
      <c r="AZ37" s="16">
        <f t="shared" ca="1" si="69"/>
        <v>0</v>
      </c>
      <c r="BA37" s="16">
        <f t="shared" ca="1" si="69"/>
        <v>0</v>
      </c>
      <c r="BB37" s="16">
        <f t="shared" ca="1" si="69"/>
        <v>0</v>
      </c>
      <c r="BC37" s="16">
        <f t="shared" ca="1" si="69"/>
        <v>0</v>
      </c>
    </row>
    <row r="38" spans="1:55">
      <c r="A38" t="str">
        <f>CONCATENATE("ШИНА -",'КСО-204'!C12)</f>
        <v>ШИНА -630</v>
      </c>
      <c r="B38">
        <f>CHOOSE(VLOOKUP('КСО-204'!C12,расчет!$BE$16:$BF$20,2,FALSE),BE11,BE11,BF11,BF11,BG11)</f>
        <v>7693</v>
      </c>
      <c r="X38" t="s">
        <v>191</v>
      </c>
      <c r="AT38" s="16"/>
      <c r="AU38" s="16"/>
      <c r="AV38" s="16"/>
      <c r="AW38" s="16"/>
      <c r="AX38" s="16"/>
      <c r="AY38" s="16"/>
      <c r="AZ38" s="16"/>
      <c r="BA38" s="16"/>
      <c r="BB38" s="16"/>
      <c r="BC38" s="16"/>
    </row>
    <row r="39" spans="1:55">
      <c r="X39" s="141" t="str">
        <f t="shared" ref="X39:AG39" si="70">CONCATENATE(MID(X16,5,7),X2,X3,X6,X8,X10,X11,X12,X13,X19,X20)</f>
        <v>КСО-20411310000</v>
      </c>
      <c r="Y39" s="141" t="str">
        <f t="shared" si="70"/>
        <v>КСО-20411310000</v>
      </c>
      <c r="Z39" s="141" t="str">
        <f t="shared" si="70"/>
        <v>КСО-20411310001</v>
      </c>
      <c r="AA39" s="141" t="str">
        <f t="shared" si="70"/>
        <v>КСО-20410000110ТСН</v>
      </c>
      <c r="AB39" s="141" t="str">
        <f t="shared" si="70"/>
        <v>КСО-20410011001ТН</v>
      </c>
      <c r="AC39" s="141" t="str">
        <f t="shared" si="70"/>
        <v>КСО-20411300000СВ</v>
      </c>
      <c r="AD39" s="141" t="str">
        <f t="shared" si="70"/>
        <v>КСО-20410000000СР</v>
      </c>
      <c r="AE39" s="141" t="str">
        <f t="shared" si="70"/>
        <v>00000000</v>
      </c>
      <c r="AF39" s="141" t="str">
        <f t="shared" si="70"/>
        <v>00000000</v>
      </c>
      <c r="AG39" s="141" t="str">
        <f t="shared" si="70"/>
        <v>00000000</v>
      </c>
      <c r="AT39" s="16">
        <f t="shared" ref="AT39:BC39" ca="1" si="71">IFERROR(TODAY()-AT9,0)</f>
        <v>644</v>
      </c>
      <c r="AU39" s="16">
        <f t="shared" ca="1" si="71"/>
        <v>644</v>
      </c>
      <c r="AV39" s="16">
        <f t="shared" ca="1" si="71"/>
        <v>644</v>
      </c>
      <c r="AW39" s="16">
        <f t="shared" ca="1" si="71"/>
        <v>0</v>
      </c>
      <c r="AX39" s="16">
        <f t="shared" ca="1" si="71"/>
        <v>0</v>
      </c>
      <c r="AY39" s="16">
        <f t="shared" ca="1" si="71"/>
        <v>0</v>
      </c>
      <c r="AZ39" s="16">
        <f t="shared" ca="1" si="71"/>
        <v>0</v>
      </c>
      <c r="BA39" s="16">
        <f t="shared" ca="1" si="71"/>
        <v>0</v>
      </c>
      <c r="BB39" s="16">
        <f t="shared" ca="1" si="71"/>
        <v>0</v>
      </c>
      <c r="BC39" s="16">
        <f t="shared" ca="1" si="71"/>
        <v>0</v>
      </c>
    </row>
    <row r="40" spans="1:55">
      <c r="B40" t="s">
        <v>185</v>
      </c>
      <c r="C40">
        <f>VLOOKUP(B40,Таблица_Регистрация_2012_год.accdb_12[[Накладные]:[Цена]],2,FALSE)</f>
        <v>1.6</v>
      </c>
      <c r="D40" t="s">
        <v>185</v>
      </c>
      <c r="E40">
        <f>VLOOKUP(D40,Таблица_Регистрация_2012_год.accdb_12[[Накладные]:[Цена]],2,FALSE)</f>
        <v>1.6</v>
      </c>
      <c r="F40" t="s">
        <v>185</v>
      </c>
      <c r="G40">
        <f>VLOOKUP(F40,Таблица_Регистрация_2012_год.accdb_12[[Накладные]:[Цена]],2,FALSE)</f>
        <v>1.6</v>
      </c>
      <c r="H40" t="s">
        <v>185</v>
      </c>
      <c r="I40">
        <f>VLOOKUP(H40,Таблица_Регистрация_2012_год.accdb_12[[Накладные]:[Цена]],2,FALSE)</f>
        <v>1.6</v>
      </c>
      <c r="J40" t="s">
        <v>185</v>
      </c>
      <c r="K40">
        <f>VLOOKUP(J40,Таблица_Регистрация_2012_год.accdb_12[[Накладные]:[Цена]],2,FALSE)</f>
        <v>1.6</v>
      </c>
      <c r="L40" t="s">
        <v>185</v>
      </c>
      <c r="M40">
        <f>VLOOKUP(L40,Таблица_Регистрация_2012_год.accdb_12[[Накладные]:[Цена]],2,FALSE)</f>
        <v>1.6</v>
      </c>
      <c r="N40" t="s">
        <v>185</v>
      </c>
      <c r="O40">
        <f>VLOOKUP(N40,Таблица_Регистрация_2012_год.accdb_12[[Накладные]:[Цена]],2,FALSE)</f>
        <v>1.6</v>
      </c>
      <c r="P40" t="s">
        <v>185</v>
      </c>
      <c r="Q40">
        <f>VLOOKUP(P40,Таблица_Регистрация_2012_год.accdb_12[[Накладные]:[Цена]],2,FALSE)</f>
        <v>1.6</v>
      </c>
      <c r="R40" t="s">
        <v>185</v>
      </c>
      <c r="S40">
        <f>VLOOKUP(R40,Таблица_Регистрация_2012_год.accdb_12[[Накладные]:[Цена]],2,FALSE)</f>
        <v>1.6</v>
      </c>
      <c r="T40" t="s">
        <v>185</v>
      </c>
      <c r="U40">
        <f>VLOOKUP(T40,Таблица_Регистрация_2012_год.accdb_12[[Накладные]:[Цена]],2,FALSE)</f>
        <v>1.6</v>
      </c>
      <c r="AT40" s="16">
        <f t="shared" ref="AT40:BC40" ca="1" si="72">IFERROR(TODAY()-AT10,0)</f>
        <v>0</v>
      </c>
      <c r="AU40" s="16">
        <f t="shared" ca="1" si="72"/>
        <v>0</v>
      </c>
      <c r="AV40" s="16">
        <f t="shared" ca="1" si="72"/>
        <v>0</v>
      </c>
      <c r="AW40" s="16">
        <f t="shared" ca="1" si="72"/>
        <v>0</v>
      </c>
      <c r="AX40" s="16">
        <f t="shared" ca="1" si="72"/>
        <v>3975</v>
      </c>
      <c r="AY40" s="16">
        <f t="shared" ca="1" si="72"/>
        <v>0</v>
      </c>
      <c r="AZ40" s="16">
        <f t="shared" ca="1" si="72"/>
        <v>0</v>
      </c>
      <c r="BA40" s="16">
        <f t="shared" ca="1" si="72"/>
        <v>0</v>
      </c>
      <c r="BB40" s="16">
        <f t="shared" ca="1" si="72"/>
        <v>0</v>
      </c>
      <c r="BC40" s="16">
        <f t="shared" ca="1" si="72"/>
        <v>0</v>
      </c>
    </row>
    <row r="41" spans="1:55">
      <c r="B41" t="s">
        <v>184</v>
      </c>
      <c r="C41">
        <f>VLOOKUP(B41,Таблица_Регистрация_2012_год.accdb_12[[Накладные]:[Цена]],2,FALSE)</f>
        <v>0.21</v>
      </c>
      <c r="D41" t="s">
        <v>184</v>
      </c>
      <c r="E41">
        <f>VLOOKUP(D41,Таблица_Регистрация_2012_год.accdb_12[[Накладные]:[Цена]],2,FALSE)</f>
        <v>0.21</v>
      </c>
      <c r="F41" t="s">
        <v>184</v>
      </c>
      <c r="G41">
        <f>VLOOKUP(F41,Таблица_Регистрация_2012_год.accdb_12[[Накладные]:[Цена]],2,FALSE)</f>
        <v>0.21</v>
      </c>
      <c r="H41" t="s">
        <v>184</v>
      </c>
      <c r="I41">
        <f>VLOOKUP(H41,Таблица_Регистрация_2012_год.accdb_12[[Накладные]:[Цена]],2,FALSE)</f>
        <v>0.21</v>
      </c>
      <c r="J41" t="s">
        <v>184</v>
      </c>
      <c r="K41">
        <f>VLOOKUP(J41,Таблица_Регистрация_2012_год.accdb_12[[Накладные]:[Цена]],2,FALSE)</f>
        <v>0.21</v>
      </c>
      <c r="L41" t="s">
        <v>184</v>
      </c>
      <c r="M41">
        <f>VLOOKUP(L41,Таблица_Регистрация_2012_год.accdb_12[[Накладные]:[Цена]],2,FALSE)</f>
        <v>0.21</v>
      </c>
      <c r="N41" t="s">
        <v>184</v>
      </c>
      <c r="O41">
        <f>VLOOKUP(N41,Таблица_Регистрация_2012_год.accdb_12[[Накладные]:[Цена]],2,FALSE)</f>
        <v>0.21</v>
      </c>
      <c r="P41" t="s">
        <v>184</v>
      </c>
      <c r="Q41">
        <f>VLOOKUP(P41,Таблица_Регистрация_2012_год.accdb_12[[Накладные]:[Цена]],2,FALSE)</f>
        <v>0.21</v>
      </c>
      <c r="R41" t="s">
        <v>184</v>
      </c>
      <c r="S41">
        <f>VLOOKUP(R41,Таблица_Регистрация_2012_год.accdb_12[[Накладные]:[Цена]],2,FALSE)</f>
        <v>0.21</v>
      </c>
      <c r="T41" t="s">
        <v>184</v>
      </c>
      <c r="U41">
        <f>VLOOKUP(T41,Таблица_Регистрация_2012_год.accdb_12[[Накладные]:[Цена]],2,FALSE)</f>
        <v>0.21</v>
      </c>
      <c r="AT41" s="16">
        <f t="shared" ref="AT41:BC41" ca="1" si="73">IFERROR(TODAY()-AT11,0)</f>
        <v>0</v>
      </c>
      <c r="AU41" s="16">
        <f t="shared" ca="1" si="73"/>
        <v>0</v>
      </c>
      <c r="AV41" s="16">
        <f t="shared" ca="1" si="73"/>
        <v>0</v>
      </c>
      <c r="AW41" s="16">
        <f t="shared" ca="1" si="73"/>
        <v>446</v>
      </c>
      <c r="AX41" s="16">
        <f t="shared" ca="1" si="73"/>
        <v>0</v>
      </c>
      <c r="AY41" s="16">
        <f t="shared" ca="1" si="73"/>
        <v>0</v>
      </c>
      <c r="AZ41" s="16">
        <f t="shared" ca="1" si="73"/>
        <v>0</v>
      </c>
      <c r="BA41" s="16">
        <f t="shared" ca="1" si="73"/>
        <v>0</v>
      </c>
      <c r="BB41" s="16">
        <f t="shared" ca="1" si="73"/>
        <v>0</v>
      </c>
      <c r="BC41" s="16">
        <f t="shared" ca="1" si="73"/>
        <v>0</v>
      </c>
    </row>
    <row r="42" spans="1:55">
      <c r="B42" t="str">
        <f>CONCATENATE("Накладные ",'КСО-204'!D10," макс")</f>
        <v>Накладные КСО-204 макс</v>
      </c>
      <c r="C42">
        <f>VLOOKUP(B42,Таблица_Регистрация_2012_год.accdb_12[[Накладные]:[Цена]],2,FALSE)</f>
        <v>103695.6375</v>
      </c>
      <c r="D42" t="str">
        <f>CONCATENATE("Накладные ",'КСО-204'!E10," макс")</f>
        <v>Накладные КСО-204 макс</v>
      </c>
      <c r="E42">
        <f>VLOOKUP(D42,Таблица_Регистрация_2012_год.accdb_12[[Накладные]:[Цена]],2,FALSE)</f>
        <v>103695.6375</v>
      </c>
      <c r="F42" t="str">
        <f>CONCATENATE("Накладные ",'КСО-204'!F10," макс")</f>
        <v>Накладные КСО-204 макс</v>
      </c>
      <c r="G42">
        <f>VLOOKUP(F42,Таблица_Регистрация_2012_год.accdb_12[[Накладные]:[Цена]],2,FALSE)</f>
        <v>103695.6375</v>
      </c>
      <c r="H42" t="str">
        <f>CONCATENATE("Накладные ",'КСО-204'!G10," макс")</f>
        <v>Накладные КСО-204 макс</v>
      </c>
      <c r="I42">
        <f>VLOOKUP(H42,Таблица_Регистрация_2012_год.accdb_12[[Накладные]:[Цена]],2,FALSE)</f>
        <v>103695.6375</v>
      </c>
      <c r="J42" t="str">
        <f>CONCATENATE("Накладные ",'КСО-204'!H10," макс")</f>
        <v>Накладные КСО-204 макс</v>
      </c>
      <c r="K42">
        <f>VLOOKUP(J42,Таблица_Регистрация_2012_год.accdb_12[[Накладные]:[Цена]],2,FALSE)</f>
        <v>103695.6375</v>
      </c>
      <c r="L42" t="str">
        <f>CONCATENATE("Накладные ",'КСО-204'!I10," макс")</f>
        <v>Накладные КСО-204 макс</v>
      </c>
      <c r="M42">
        <f>VLOOKUP(L42,Таблица_Регистрация_2012_год.accdb_12[[Накладные]:[Цена]],2,FALSE)</f>
        <v>103695.6375</v>
      </c>
      <c r="N42" t="str">
        <f>CONCATENATE("Накладные ",'КСО-204'!J10," макс")</f>
        <v>Накладные КСО-204 макс</v>
      </c>
      <c r="O42">
        <f>VLOOKUP(N42,Таблица_Регистрация_2012_год.accdb_12[[Накладные]:[Цена]],2,FALSE)</f>
        <v>103695.6375</v>
      </c>
      <c r="P42" t="str">
        <f>CONCATENATE("Накладные ",'КСО-204'!K10," макс")</f>
        <v>Накладные  макс</v>
      </c>
      <c r="Q42" t="e">
        <f>VLOOKUP(P42,Таблица_Регистрация_2012_год.accdb_12[[Накладные]:[Цена]],2,FALSE)</f>
        <v>#N/A</v>
      </c>
      <c r="R42" t="str">
        <f>CONCATENATE("Накладные ",'КСО-204'!L10," макс")</f>
        <v>Накладные  макс</v>
      </c>
      <c r="S42" t="e">
        <f>VLOOKUP(R42,Таблица_Регистрация_2012_год.accdb_12[[Накладные]:[Цена]],2,FALSE)</f>
        <v>#N/A</v>
      </c>
      <c r="T42" t="str">
        <f>CONCATENATE("Накладные ",'КСО-204'!M10," макс")</f>
        <v>Накладные  макс</v>
      </c>
      <c r="U42" t="e">
        <f>VLOOKUP(T42,Таблица_Регистрация_2012_год.accdb_12[[Накладные]:[Цена]],2,FALSE)</f>
        <v>#N/A</v>
      </c>
      <c r="AT42" s="16">
        <f t="shared" ref="AT42:BC42" ca="1" si="74">IFERROR(TODAY()-AT12,0)</f>
        <v>0</v>
      </c>
      <c r="AU42" s="16">
        <f t="shared" ca="1" si="74"/>
        <v>0</v>
      </c>
      <c r="AV42" s="16">
        <f t="shared" ca="1" si="74"/>
        <v>0</v>
      </c>
      <c r="AW42" s="16">
        <f t="shared" ca="1" si="74"/>
        <v>1412</v>
      </c>
      <c r="AX42" s="16">
        <f t="shared" ca="1" si="74"/>
        <v>0</v>
      </c>
      <c r="AY42" s="16">
        <f t="shared" ca="1" si="74"/>
        <v>0</v>
      </c>
      <c r="AZ42" s="16">
        <f t="shared" ca="1" si="74"/>
        <v>0</v>
      </c>
      <c r="BA42" s="16">
        <f t="shared" ca="1" si="74"/>
        <v>0</v>
      </c>
      <c r="BB42" s="16">
        <f t="shared" ca="1" si="74"/>
        <v>0</v>
      </c>
      <c r="BC42" s="16">
        <f t="shared" ca="1" si="74"/>
        <v>0</v>
      </c>
    </row>
    <row r="43" spans="1:55">
      <c r="B43" t="str">
        <f>CONCATENATE("ФОТ ",'КСО-204'!D10," макс")</f>
        <v>ФОТ КСО-204 макс</v>
      </c>
      <c r="C43">
        <f>VLOOKUP(B43,Таблица_Регистрация_2012_год.accdb_12[[Накладные]:[Цена]],2,FALSE)</f>
        <v>64809.36</v>
      </c>
      <c r="D43" t="str">
        <f>CONCATENATE("ФОТ ",'КСО-204'!E10," макс")</f>
        <v>ФОТ КСО-204 макс</v>
      </c>
      <c r="E43">
        <f>VLOOKUP(D43,Таблица_Регистрация_2012_год.accdb_12[[Накладные]:[Цена]],2,FALSE)</f>
        <v>64809.36</v>
      </c>
      <c r="F43" t="str">
        <f>CONCATENATE("ФОТ ",'КСО-204'!F10," макс")</f>
        <v>ФОТ КСО-204 макс</v>
      </c>
      <c r="G43">
        <f>VLOOKUP(F43,Таблица_Регистрация_2012_год.accdb_12[[Накладные]:[Цена]],2,FALSE)</f>
        <v>64809.36</v>
      </c>
      <c r="H43" t="str">
        <f>CONCATENATE("ФОТ ",'КСО-204'!G10," макс")</f>
        <v>ФОТ КСО-204 макс</v>
      </c>
      <c r="I43">
        <f>VLOOKUP(H43,Таблица_Регистрация_2012_год.accdb_12[[Накладные]:[Цена]],2,FALSE)</f>
        <v>64809.36</v>
      </c>
      <c r="J43" t="str">
        <f>CONCATENATE("ФОТ ",'КСО-204'!H10," макс")</f>
        <v>ФОТ КСО-204 макс</v>
      </c>
      <c r="K43">
        <f>VLOOKUP(J43,Таблица_Регистрация_2012_год.accdb_12[[Накладные]:[Цена]],2,FALSE)</f>
        <v>64809.36</v>
      </c>
      <c r="L43" t="str">
        <f>CONCATENATE("ФОТ ",'КСО-204'!I10," макс")</f>
        <v>ФОТ КСО-204 макс</v>
      </c>
      <c r="M43">
        <f>VLOOKUP(L43,Таблица_Регистрация_2012_год.accdb_12[[Накладные]:[Цена]],2,FALSE)</f>
        <v>64809.36</v>
      </c>
      <c r="N43" t="str">
        <f>CONCATENATE("ФОТ ",'КСО-204'!J10," макс")</f>
        <v>ФОТ КСО-204 макс</v>
      </c>
      <c r="O43">
        <f>VLOOKUP(N43,Таблица_Регистрация_2012_год.accdb_12[[Накладные]:[Цена]],2,FALSE)</f>
        <v>64809.36</v>
      </c>
      <c r="P43" t="str">
        <f>CONCATENATE("ФОТ ",'КСО-204'!K10," макс")</f>
        <v>ФОТ  макс</v>
      </c>
      <c r="Q43" t="e">
        <f>VLOOKUP(P43,Таблица_Регистрация_2012_год.accdb_12[[Накладные]:[Цена]],2,FALSE)</f>
        <v>#N/A</v>
      </c>
      <c r="R43" t="str">
        <f>CONCATENATE("ФОТ ",'КСО-204'!L10," макс")</f>
        <v>ФОТ  макс</v>
      </c>
      <c r="S43" t="e">
        <f>VLOOKUP(R43,Таблица_Регистрация_2012_год.accdb_12[[Накладные]:[Цена]],2,FALSE)</f>
        <v>#N/A</v>
      </c>
      <c r="T43" t="str">
        <f>CONCATENATE("ФОТ ",'КСО-204'!M10," макс")</f>
        <v>ФОТ  макс</v>
      </c>
      <c r="U43" t="e">
        <f>VLOOKUP(T43,Таблица_Регистрация_2012_год.accdb_12[[Накладные]:[Цена]],2,FALSE)</f>
        <v>#N/A</v>
      </c>
      <c r="AT43" s="16">
        <f t="shared" ref="AT43:BC43" ca="1" si="75">IFERROR(TODAY()-AT13,0)</f>
        <v>0</v>
      </c>
      <c r="AU43" s="16">
        <f t="shared" ca="1" si="75"/>
        <v>0</v>
      </c>
      <c r="AV43" s="16">
        <f t="shared" ca="1" si="75"/>
        <v>357</v>
      </c>
      <c r="AW43" s="16">
        <f t="shared" ca="1" si="75"/>
        <v>0</v>
      </c>
      <c r="AX43" s="16">
        <f t="shared" ca="1" si="75"/>
        <v>357</v>
      </c>
      <c r="AY43" s="16">
        <f t="shared" ca="1" si="75"/>
        <v>0</v>
      </c>
      <c r="AZ43" s="16">
        <f t="shared" ca="1" si="75"/>
        <v>0</v>
      </c>
      <c r="BA43" s="16">
        <f t="shared" ca="1" si="75"/>
        <v>0</v>
      </c>
      <c r="BB43" s="16">
        <f t="shared" ca="1" si="75"/>
        <v>0</v>
      </c>
      <c r="BC43" s="16">
        <f t="shared" ca="1" si="75"/>
        <v>0</v>
      </c>
    </row>
    <row r="44" spans="1:55">
      <c r="B44" s="131"/>
      <c r="C44" s="132"/>
      <c r="D44" s="131"/>
      <c r="E44" s="132"/>
      <c r="F44" s="131"/>
      <c r="G44" s="132"/>
      <c r="H44" s="131"/>
      <c r="I44" s="132"/>
      <c r="J44" s="131"/>
      <c r="K44" s="132"/>
      <c r="L44" s="131"/>
      <c r="M44" s="132"/>
      <c r="N44" s="131"/>
      <c r="O44" s="132"/>
      <c r="P44" s="131"/>
      <c r="Q44" s="132"/>
      <c r="R44" s="131"/>
      <c r="S44" s="132"/>
      <c r="T44" s="131"/>
      <c r="U44" s="132"/>
      <c r="AT44" s="16"/>
      <c r="AU44" s="16"/>
      <c r="AV44" s="16"/>
      <c r="AW44" s="16"/>
      <c r="AX44" s="16"/>
      <c r="AY44" s="16"/>
      <c r="AZ44" s="16"/>
      <c r="BA44" s="16"/>
      <c r="BB44" s="16"/>
      <c r="BC44" s="16"/>
    </row>
    <row r="45" spans="1:55">
      <c r="A45" s="5" t="s">
        <v>1</v>
      </c>
      <c r="B45" s="5">
        <f>'Сводная информация'!C3</f>
        <v>4</v>
      </c>
      <c r="C45" s="5">
        <f>'Сводная информация'!C4</f>
        <v>2</v>
      </c>
      <c r="D45" s="5">
        <f>'Сводная информация'!C5</f>
        <v>2</v>
      </c>
      <c r="E45" s="5">
        <f>'Сводная информация'!C6</f>
        <v>2</v>
      </c>
      <c r="F45" s="5">
        <f>'Сводная информация'!C7</f>
        <v>2</v>
      </c>
      <c r="G45" s="5">
        <f>'Сводная информация'!C8</f>
        <v>1</v>
      </c>
      <c r="H45" s="5">
        <f>'Сводная информация'!C9</f>
        <v>1</v>
      </c>
      <c r="I45" s="5">
        <f>'Сводная информация'!C10</f>
        <v>0</v>
      </c>
      <c r="J45" s="5">
        <f>'Сводная информация'!C11</f>
        <v>0</v>
      </c>
      <c r="K45" s="5">
        <f>'Сводная информация'!C12</f>
        <v>0</v>
      </c>
      <c r="AT45" s="16"/>
      <c r="AU45" s="16"/>
      <c r="AV45" s="16"/>
      <c r="AW45" s="16"/>
      <c r="AX45" s="16"/>
      <c r="AY45" s="16"/>
      <c r="AZ45" s="16"/>
      <c r="BA45" s="16"/>
      <c r="BB45" s="16"/>
      <c r="BC45" s="16"/>
    </row>
    <row r="46" spans="1:55">
      <c r="A46" s="5" t="s">
        <v>77</v>
      </c>
      <c r="B46" s="135">
        <f>C34</f>
        <v>409844</v>
      </c>
      <c r="C46" s="135">
        <f>E34</f>
        <v>409844</v>
      </c>
      <c r="D46" s="135">
        <f>G34</f>
        <v>418628</v>
      </c>
      <c r="E46" s="135">
        <f>I34</f>
        <v>296723</v>
      </c>
      <c r="F46" s="135">
        <f>K34</f>
        <v>262545</v>
      </c>
      <c r="G46" s="135">
        <f>M34</f>
        <v>374620</v>
      </c>
      <c r="H46" s="135">
        <f>O34</f>
        <v>79693</v>
      </c>
      <c r="I46" s="135">
        <f>Q34</f>
        <v>0</v>
      </c>
      <c r="J46" s="135">
        <f>S34</f>
        <v>0</v>
      </c>
      <c r="K46" s="135">
        <f>U34</f>
        <v>0</v>
      </c>
      <c r="AT46" s="16">
        <f t="shared" ref="AT46:BC46" ca="1" si="76">IFERROR(TODAY()-AT16,0)</f>
        <v>478</v>
      </c>
      <c r="AU46" s="16">
        <f t="shared" ca="1" si="76"/>
        <v>478</v>
      </c>
      <c r="AV46" s="16">
        <f t="shared" ca="1" si="76"/>
        <v>0</v>
      </c>
      <c r="AW46" s="16">
        <f t="shared" ca="1" si="76"/>
        <v>0</v>
      </c>
      <c r="AX46" s="16">
        <f t="shared" ca="1" si="76"/>
        <v>0</v>
      </c>
      <c r="AY46" s="16">
        <f t="shared" ca="1" si="76"/>
        <v>0</v>
      </c>
      <c r="AZ46" s="16">
        <f t="shared" ca="1" si="76"/>
        <v>0</v>
      </c>
      <c r="BA46" s="16">
        <f t="shared" ca="1" si="76"/>
        <v>0</v>
      </c>
      <c r="BB46" s="16">
        <f t="shared" ca="1" si="76"/>
        <v>0</v>
      </c>
      <c r="BC46" s="16">
        <f t="shared" ca="1" si="76"/>
        <v>0</v>
      </c>
    </row>
    <row r="47" spans="1:55">
      <c r="A47" s="5" t="s">
        <v>189</v>
      </c>
      <c r="B47" s="135">
        <f>C32</f>
        <v>103694.97600000001</v>
      </c>
      <c r="C47" s="135">
        <f>E32</f>
        <v>103694.97600000001</v>
      </c>
      <c r="D47" s="135">
        <f>G32</f>
        <v>103694.97600000001</v>
      </c>
      <c r="E47" s="135">
        <f>I32</f>
        <v>99698.928</v>
      </c>
      <c r="F47" s="135">
        <f>K32</f>
        <v>88215.12</v>
      </c>
      <c r="G47" s="135">
        <f>M32</f>
        <v>103694.97600000001</v>
      </c>
      <c r="H47" s="135">
        <f>O32</f>
        <v>26776.847999999998</v>
      </c>
      <c r="I47" s="135" t="e">
        <f>Q32</f>
        <v>#N/A</v>
      </c>
      <c r="J47" s="135" t="e">
        <f>S32</f>
        <v>#N/A</v>
      </c>
      <c r="K47" s="135" t="e">
        <f>U32</f>
        <v>#N/A</v>
      </c>
      <c r="AT47" s="16"/>
      <c r="AU47" s="16"/>
      <c r="AV47" s="16"/>
      <c r="AW47" s="16"/>
      <c r="AX47" s="16"/>
      <c r="AY47" s="16"/>
      <c r="AZ47" s="16"/>
      <c r="BA47" s="16"/>
      <c r="BB47" s="16"/>
      <c r="BC47" s="16"/>
    </row>
    <row r="48" spans="1:55">
      <c r="A48" s="5" t="s">
        <v>190</v>
      </c>
      <c r="B48" s="38">
        <f>C31</f>
        <v>64809.36</v>
      </c>
      <c r="C48" s="136">
        <f>E31</f>
        <v>64809.36</v>
      </c>
      <c r="D48" s="136">
        <f>G31</f>
        <v>64809.36</v>
      </c>
      <c r="E48" s="136">
        <f>I31</f>
        <v>62311.829999999994</v>
      </c>
      <c r="F48" s="136">
        <f>K31</f>
        <v>55134.45</v>
      </c>
      <c r="G48" s="136">
        <f>M31</f>
        <v>64809.36</v>
      </c>
      <c r="H48" s="136">
        <f>O31</f>
        <v>16735.53</v>
      </c>
      <c r="I48" s="136" t="e">
        <f>Q31</f>
        <v>#N/A</v>
      </c>
      <c r="J48" s="136" t="e">
        <f>S31</f>
        <v>#N/A</v>
      </c>
      <c r="K48" s="136" t="e">
        <f>U31</f>
        <v>#N/A</v>
      </c>
      <c r="AT48" s="16">
        <f t="shared" ref="AT48:BC48" ca="1" si="77">IFERROR(TODAY()-AT18,0)</f>
        <v>0</v>
      </c>
      <c r="AU48" s="16">
        <f t="shared" ca="1" si="77"/>
        <v>0</v>
      </c>
      <c r="AV48" s="16">
        <f t="shared" ca="1" si="77"/>
        <v>0</v>
      </c>
      <c r="AW48" s="16">
        <f t="shared" ca="1" si="77"/>
        <v>0</v>
      </c>
      <c r="AX48" s="16">
        <f t="shared" ca="1" si="77"/>
        <v>0</v>
      </c>
      <c r="AY48" s="16">
        <f t="shared" ca="1" si="77"/>
        <v>0</v>
      </c>
      <c r="AZ48" s="16">
        <f t="shared" ca="1" si="77"/>
        <v>0</v>
      </c>
      <c r="BA48" s="16">
        <f t="shared" ca="1" si="77"/>
        <v>0</v>
      </c>
      <c r="BB48" s="16">
        <f t="shared" ca="1" si="77"/>
        <v>0</v>
      </c>
      <c r="BC48" s="16">
        <f t="shared" ca="1" si="77"/>
        <v>0</v>
      </c>
    </row>
    <row r="49" spans="1:55">
      <c r="A49" s="138" t="s">
        <v>77</v>
      </c>
      <c r="B49" s="33">
        <f>IFERROR(B46*B$45,0)</f>
        <v>1639376</v>
      </c>
      <c r="C49" s="33">
        <f t="shared" ref="C49:K49" si="78">IFERROR(C46*C$45,0)</f>
        <v>819688</v>
      </c>
      <c r="D49" s="33">
        <f t="shared" si="78"/>
        <v>837256</v>
      </c>
      <c r="E49" s="33">
        <f t="shared" si="78"/>
        <v>593446</v>
      </c>
      <c r="F49" s="33">
        <f t="shared" si="78"/>
        <v>525090</v>
      </c>
      <c r="G49" s="33">
        <f t="shared" si="78"/>
        <v>374620</v>
      </c>
      <c r="H49" s="33">
        <f t="shared" si="78"/>
        <v>79693</v>
      </c>
      <c r="I49" s="33">
        <f t="shared" si="78"/>
        <v>0</v>
      </c>
      <c r="J49" s="33">
        <f t="shared" si="78"/>
        <v>0</v>
      </c>
      <c r="K49" s="33">
        <f t="shared" si="78"/>
        <v>0</v>
      </c>
      <c r="AT49" s="16"/>
      <c r="AU49" s="16"/>
      <c r="AV49" s="16"/>
      <c r="AW49" s="16"/>
      <c r="AX49" s="16"/>
      <c r="AY49" s="16"/>
      <c r="AZ49" s="16"/>
      <c r="BA49" s="16"/>
      <c r="BB49" s="16"/>
      <c r="BC49" s="16"/>
    </row>
    <row r="50" spans="1:55">
      <c r="A50" s="138" t="s">
        <v>189</v>
      </c>
      <c r="B50" s="33">
        <f t="shared" ref="B50:K51" si="79">IFERROR(B47*B$45,0)</f>
        <v>414779.90400000004</v>
      </c>
      <c r="C50" s="33">
        <f t="shared" si="79"/>
        <v>207389.95200000002</v>
      </c>
      <c r="D50" s="33">
        <f t="shared" si="79"/>
        <v>207389.95200000002</v>
      </c>
      <c r="E50" s="33">
        <f t="shared" si="79"/>
        <v>199397.856</v>
      </c>
      <c r="F50" s="33">
        <f t="shared" si="79"/>
        <v>176430.24</v>
      </c>
      <c r="G50" s="33">
        <f t="shared" si="79"/>
        <v>103694.97600000001</v>
      </c>
      <c r="H50" s="33">
        <f t="shared" si="79"/>
        <v>26776.847999999998</v>
      </c>
      <c r="I50" s="33">
        <f t="shared" si="79"/>
        <v>0</v>
      </c>
      <c r="J50" s="33">
        <f t="shared" si="79"/>
        <v>0</v>
      </c>
      <c r="K50" s="33">
        <f t="shared" si="79"/>
        <v>0</v>
      </c>
      <c r="AT50" s="16">
        <f t="shared" ref="AT50:BC50" ca="1" si="80">IFERROR(TODAY()-AT20,0)</f>
        <v>0</v>
      </c>
      <c r="AU50" s="16">
        <f t="shared" ca="1" si="80"/>
        <v>0</v>
      </c>
      <c r="AV50" s="16">
        <f t="shared" ca="1" si="80"/>
        <v>0</v>
      </c>
      <c r="AW50" s="16">
        <f t="shared" ca="1" si="80"/>
        <v>0</v>
      </c>
      <c r="AX50" s="16">
        <f t="shared" ca="1" si="80"/>
        <v>0</v>
      </c>
      <c r="AY50" s="16">
        <f t="shared" ca="1" si="80"/>
        <v>0</v>
      </c>
      <c r="AZ50" s="16">
        <f t="shared" ca="1" si="80"/>
        <v>0</v>
      </c>
      <c r="BA50" s="16">
        <f t="shared" ca="1" si="80"/>
        <v>0</v>
      </c>
      <c r="BB50" s="16">
        <f t="shared" ca="1" si="80"/>
        <v>0</v>
      </c>
      <c r="BC50" s="16">
        <f t="shared" ca="1" si="80"/>
        <v>0</v>
      </c>
    </row>
    <row r="51" spans="1:55">
      <c r="A51" s="138" t="s">
        <v>190</v>
      </c>
      <c r="B51" s="33">
        <f t="shared" si="79"/>
        <v>259237.44</v>
      </c>
      <c r="C51" s="33">
        <f t="shared" si="79"/>
        <v>129618.72</v>
      </c>
      <c r="D51" s="33">
        <f t="shared" si="79"/>
        <v>129618.72</v>
      </c>
      <c r="E51" s="33">
        <f t="shared" si="79"/>
        <v>124623.65999999999</v>
      </c>
      <c r="F51" s="33">
        <f t="shared" si="79"/>
        <v>110268.9</v>
      </c>
      <c r="G51" s="33">
        <f t="shared" si="79"/>
        <v>64809.36</v>
      </c>
      <c r="H51" s="33">
        <f t="shared" si="79"/>
        <v>16735.53</v>
      </c>
      <c r="I51" s="33">
        <f t="shared" si="79"/>
        <v>0</v>
      </c>
      <c r="J51" s="33">
        <f t="shared" si="79"/>
        <v>0</v>
      </c>
      <c r="K51" s="33">
        <f t="shared" si="79"/>
        <v>0</v>
      </c>
    </row>
    <row r="52" spans="1:55">
      <c r="AT52" s="16">
        <f t="shared" ref="AT52:BC52" ca="1" si="81">IFERROR(TODAY()-AT22,0)</f>
        <v>0</v>
      </c>
      <c r="AU52" s="16">
        <f t="shared" ca="1" si="81"/>
        <v>0</v>
      </c>
      <c r="AV52" s="16">
        <f t="shared" ca="1" si="81"/>
        <v>0</v>
      </c>
      <c r="AW52" s="16">
        <f t="shared" ca="1" si="81"/>
        <v>0</v>
      </c>
      <c r="AX52" s="16">
        <f t="shared" ca="1" si="81"/>
        <v>0</v>
      </c>
      <c r="AY52" s="16">
        <f t="shared" ca="1" si="81"/>
        <v>0</v>
      </c>
      <c r="AZ52" s="16">
        <f t="shared" ca="1" si="81"/>
        <v>0</v>
      </c>
      <c r="BA52" s="16">
        <f t="shared" ca="1" si="81"/>
        <v>0</v>
      </c>
      <c r="BB52" s="16">
        <f t="shared" ca="1" si="81"/>
        <v>0</v>
      </c>
      <c r="BC52" s="16">
        <f t="shared" ca="1" si="81"/>
        <v>0</v>
      </c>
    </row>
    <row r="53" spans="1:55">
      <c r="D53" t="s">
        <v>86</v>
      </c>
      <c r="F53" s="134"/>
      <c r="G53" s="134"/>
      <c r="H53" s="134"/>
    </row>
    <row r="54" spans="1:55">
      <c r="B54" s="56"/>
      <c r="D54" t="s">
        <v>87</v>
      </c>
      <c r="F54" s="191" t="s">
        <v>194</v>
      </c>
      <c r="G54" s="191"/>
      <c r="H54" s="191"/>
      <c r="AT54" s="16">
        <f t="shared" ref="AT54:BC54" ca="1" si="82">IFERROR(TODAY()-AT24,0)</f>
        <v>0</v>
      </c>
      <c r="AU54" s="16">
        <f t="shared" ca="1" si="82"/>
        <v>0</v>
      </c>
      <c r="AV54" s="16">
        <f t="shared" ca="1" si="82"/>
        <v>0</v>
      </c>
      <c r="AW54" s="16">
        <f t="shared" ca="1" si="82"/>
        <v>0</v>
      </c>
      <c r="AX54" s="16">
        <f t="shared" ca="1" si="82"/>
        <v>0</v>
      </c>
      <c r="AY54" s="16">
        <f t="shared" ca="1" si="82"/>
        <v>0</v>
      </c>
      <c r="AZ54" s="16">
        <f t="shared" ca="1" si="82"/>
        <v>0</v>
      </c>
      <c r="BA54" s="16">
        <f t="shared" ca="1" si="82"/>
        <v>0</v>
      </c>
      <c r="BB54" s="16">
        <f t="shared" ca="1" si="82"/>
        <v>0</v>
      </c>
      <c r="BC54" s="16">
        <f t="shared" ca="1" si="82"/>
        <v>0</v>
      </c>
    </row>
    <row r="55" spans="1:55">
      <c r="D55" t="s">
        <v>88</v>
      </c>
      <c r="F55" s="137" t="s">
        <v>77</v>
      </c>
      <c r="G55" s="137" t="s">
        <v>189</v>
      </c>
      <c r="H55" s="137" t="s">
        <v>190</v>
      </c>
      <c r="I55" s="134"/>
    </row>
    <row r="56" spans="1:55">
      <c r="D56" t="s">
        <v>93</v>
      </c>
      <c r="F56" s="139">
        <f>SUM(B49:K49)</f>
        <v>4869169</v>
      </c>
      <c r="G56" s="139">
        <f>SUM(B50:K50)</f>
        <v>1335859.7280000001</v>
      </c>
      <c r="H56" s="139">
        <f>SUM(B51:K51)</f>
        <v>834912.33000000007</v>
      </c>
      <c r="AT56" s="16">
        <f t="shared" ref="AT56:BC56" ca="1" si="83">IFERROR(TODAY()-AT26,0)</f>
        <v>0</v>
      </c>
      <c r="AU56" s="16">
        <f t="shared" ca="1" si="83"/>
        <v>0</v>
      </c>
      <c r="AV56" s="16">
        <f t="shared" ca="1" si="83"/>
        <v>0</v>
      </c>
      <c r="AW56" s="16">
        <f t="shared" ca="1" si="83"/>
        <v>0</v>
      </c>
      <c r="AX56" s="16">
        <f t="shared" ca="1" si="83"/>
        <v>0</v>
      </c>
      <c r="AY56" s="16">
        <f t="shared" ca="1" si="83"/>
        <v>0</v>
      </c>
      <c r="AZ56" s="16">
        <f t="shared" ca="1" si="83"/>
        <v>0</v>
      </c>
      <c r="BA56" s="16">
        <f t="shared" ca="1" si="83"/>
        <v>0</v>
      </c>
      <c r="BB56" s="16">
        <f t="shared" ca="1" si="83"/>
        <v>0</v>
      </c>
      <c r="BC56" s="16">
        <f t="shared" ca="1" si="83"/>
        <v>0</v>
      </c>
    </row>
    <row r="57" spans="1:55">
      <c r="D57" t="s">
        <v>95</v>
      </c>
    </row>
    <row r="58" spans="1:55">
      <c r="A58" t="s">
        <v>193</v>
      </c>
      <c r="B58" t="s">
        <v>192</v>
      </c>
      <c r="AT58" s="16">
        <f t="shared" ref="AT58:BC58" ca="1" si="84">IFERROR(TODAY()-AT28,0)</f>
        <v>0</v>
      </c>
      <c r="AU58" s="16">
        <f t="shared" ca="1" si="84"/>
        <v>0</v>
      </c>
      <c r="AV58" s="16">
        <f t="shared" ca="1" si="84"/>
        <v>0</v>
      </c>
      <c r="AW58" s="16">
        <f t="shared" ca="1" si="84"/>
        <v>0</v>
      </c>
      <c r="AX58" s="16">
        <f t="shared" ca="1" si="84"/>
        <v>0</v>
      </c>
      <c r="AY58" s="16">
        <f t="shared" ca="1" si="84"/>
        <v>0</v>
      </c>
      <c r="AZ58" s="16">
        <f t="shared" ca="1" si="84"/>
        <v>0</v>
      </c>
      <c r="BA58" s="16">
        <f t="shared" ca="1" si="84"/>
        <v>0</v>
      </c>
      <c r="BB58" s="16">
        <f t="shared" ca="1" si="84"/>
        <v>0</v>
      </c>
      <c r="BC58" s="16">
        <f t="shared" ca="1" si="84"/>
        <v>0</v>
      </c>
    </row>
    <row r="59" spans="1:55">
      <c r="A59" t="s">
        <v>122</v>
      </c>
      <c r="B59" s="87" t="s">
        <v>145</v>
      </c>
      <c r="C59" s="47" t="s">
        <v>15</v>
      </c>
      <c r="D59" s="5">
        <v>0</v>
      </c>
      <c r="AT59" s="16"/>
      <c r="AU59" s="16"/>
      <c r="AV59" s="16"/>
      <c r="AW59" s="16"/>
      <c r="AX59" s="16"/>
      <c r="AY59" s="16"/>
      <c r="AZ59" s="16"/>
      <c r="BA59" s="16"/>
      <c r="BB59" s="16"/>
      <c r="BC59" s="16"/>
    </row>
    <row r="60" spans="1:55" ht="15">
      <c r="A60" t="s">
        <v>122</v>
      </c>
      <c r="B60" s="57" t="s">
        <v>149</v>
      </c>
      <c r="C60" s="47" t="s">
        <v>117</v>
      </c>
      <c r="D60" s="5">
        <v>0</v>
      </c>
      <c r="F60" s="147" t="s">
        <v>224</v>
      </c>
      <c r="AT60" s="16"/>
      <c r="AU60" s="16"/>
      <c r="AV60" s="16"/>
      <c r="AW60" s="16"/>
      <c r="AX60" s="16"/>
      <c r="AY60" s="16"/>
      <c r="AZ60" s="16"/>
      <c r="BA60" s="16"/>
      <c r="BB60" s="16"/>
      <c r="BC60" s="16"/>
    </row>
    <row r="61" spans="1:55">
      <c r="A61" t="s">
        <v>122</v>
      </c>
      <c r="B61" s="87" t="s">
        <v>144</v>
      </c>
      <c r="C61" s="47" t="s">
        <v>18</v>
      </c>
      <c r="D61" s="5">
        <v>0</v>
      </c>
      <c r="G61" s="144" t="s">
        <v>221</v>
      </c>
    </row>
    <row r="62" spans="1:55">
      <c r="A62" t="s">
        <v>122</v>
      </c>
      <c r="B62" s="87" t="s">
        <v>150</v>
      </c>
      <c r="C62" s="47" t="s">
        <v>19</v>
      </c>
      <c r="D62" s="5">
        <v>0</v>
      </c>
      <c r="F62" s="144" t="s">
        <v>222</v>
      </c>
      <c r="G62" t="s">
        <v>220</v>
      </c>
      <c r="H62" t="s">
        <v>219</v>
      </c>
      <c r="I62" s="96" t="s">
        <v>223</v>
      </c>
    </row>
    <row r="63" spans="1:55">
      <c r="A63" t="s">
        <v>122</v>
      </c>
      <c r="B63" s="57" t="s">
        <v>146</v>
      </c>
      <c r="C63" s="47" t="s">
        <v>11</v>
      </c>
      <c r="D63" s="5">
        <v>0</v>
      </c>
      <c r="F63" s="145"/>
      <c r="G63" s="96">
        <v>5.4945054945054944E-2</v>
      </c>
      <c r="H63" s="146">
        <v>11</v>
      </c>
      <c r="I63" s="96">
        <v>110</v>
      </c>
    </row>
    <row r="64" spans="1:55">
      <c r="A64" t="s">
        <v>122</v>
      </c>
      <c r="B64" s="57" t="s">
        <v>151</v>
      </c>
      <c r="C64" s="47" t="s">
        <v>12</v>
      </c>
      <c r="D64" s="5">
        <v>0</v>
      </c>
      <c r="F64" s="145" t="s">
        <v>218</v>
      </c>
      <c r="G64" s="96">
        <v>5.4945054945054944E-2</v>
      </c>
      <c r="H64" s="146">
        <v>11</v>
      </c>
      <c r="I64" s="96">
        <v>110</v>
      </c>
    </row>
    <row r="65" spans="1:4">
      <c r="A65" t="s">
        <v>122</v>
      </c>
      <c r="B65" s="57" t="s">
        <v>147</v>
      </c>
      <c r="C65" s="47" t="s">
        <v>9</v>
      </c>
      <c r="D65" s="5">
        <v>0</v>
      </c>
    </row>
    <row r="66" spans="1:4">
      <c r="A66" t="s">
        <v>122</v>
      </c>
      <c r="B66" s="57" t="s">
        <v>152</v>
      </c>
      <c r="C66" s="47" t="s">
        <v>10</v>
      </c>
      <c r="D66" s="5">
        <v>0</v>
      </c>
    </row>
    <row r="67" spans="1:4">
      <c r="A67" t="s">
        <v>122</v>
      </c>
      <c r="B67" s="57" t="s">
        <v>148</v>
      </c>
      <c r="C67" s="47" t="s">
        <v>13</v>
      </c>
      <c r="D67" s="5">
        <v>0</v>
      </c>
    </row>
    <row r="68" spans="1:4">
      <c r="A68" t="s">
        <v>122</v>
      </c>
      <c r="B68" s="57" t="s">
        <v>153</v>
      </c>
      <c r="C68" s="47" t="s">
        <v>123</v>
      </c>
      <c r="D68" s="5">
        <v>0</v>
      </c>
    </row>
    <row r="69" spans="1:4">
      <c r="A69" t="s">
        <v>122</v>
      </c>
      <c r="B69" s="57" t="s">
        <v>154</v>
      </c>
      <c r="C69" s="47" t="s">
        <v>118</v>
      </c>
      <c r="D69" s="5"/>
    </row>
    <row r="70" spans="1:4">
      <c r="A70" t="s">
        <v>122</v>
      </c>
      <c r="B70" s="57" t="s">
        <v>155</v>
      </c>
      <c r="C70" s="47" t="s">
        <v>119</v>
      </c>
      <c r="D70" s="5"/>
    </row>
    <row r="71" spans="1:4">
      <c r="A71" t="s">
        <v>122</v>
      </c>
      <c r="B71" s="57" t="s">
        <v>156</v>
      </c>
      <c r="C71" s="47" t="s">
        <v>163</v>
      </c>
      <c r="D71" s="5"/>
    </row>
    <row r="72" spans="1:4">
      <c r="A72" t="s">
        <v>122</v>
      </c>
      <c r="B72" s="57" t="s">
        <v>157</v>
      </c>
      <c r="C72" s="47" t="s">
        <v>85</v>
      </c>
      <c r="D72" s="5"/>
    </row>
    <row r="73" spans="1:4">
      <c r="A73" t="s">
        <v>122</v>
      </c>
      <c r="B73" s="57" t="s">
        <v>156</v>
      </c>
      <c r="C73" s="47" t="s">
        <v>124</v>
      </c>
      <c r="D73" s="5"/>
    </row>
    <row r="74" spans="1:4">
      <c r="A74" t="s">
        <v>122</v>
      </c>
      <c r="B74" s="57" t="s">
        <v>158</v>
      </c>
      <c r="C74" s="47" t="s">
        <v>125</v>
      </c>
      <c r="D74" s="5"/>
    </row>
    <row r="75" spans="1:4">
      <c r="A75" t="s">
        <v>122</v>
      </c>
      <c r="B75" s="57" t="s">
        <v>159</v>
      </c>
      <c r="C75" s="47" t="s">
        <v>89</v>
      </c>
      <c r="D75" s="5"/>
    </row>
    <row r="76" spans="1:4">
      <c r="A76" t="s">
        <v>122</v>
      </c>
      <c r="B76" s="57" t="s">
        <v>160</v>
      </c>
      <c r="C76" s="47" t="s">
        <v>126</v>
      </c>
      <c r="D76" s="5"/>
    </row>
    <row r="77" spans="1:4">
      <c r="A77" t="s">
        <v>122</v>
      </c>
      <c r="B77" s="87" t="s">
        <v>161</v>
      </c>
      <c r="C77" s="47" t="s">
        <v>127</v>
      </c>
      <c r="D77" s="5"/>
    </row>
    <row r="78" spans="1:4">
      <c r="A78" t="s">
        <v>122</v>
      </c>
      <c r="B78" s="87" t="s">
        <v>167</v>
      </c>
      <c r="C78" s="47" t="s">
        <v>120</v>
      </c>
      <c r="D78" s="5"/>
    </row>
    <row r="79" spans="1:4">
      <c r="A79" t="s">
        <v>122</v>
      </c>
      <c r="B79" s="87" t="s">
        <v>168</v>
      </c>
      <c r="C79" s="47" t="s">
        <v>169</v>
      </c>
      <c r="D79" s="5"/>
    </row>
    <row r="80" spans="1:4">
      <c r="A80" t="s">
        <v>170</v>
      </c>
      <c r="B80" s="87" t="s">
        <v>171</v>
      </c>
      <c r="C80" s="47" t="s">
        <v>15</v>
      </c>
      <c r="D80" s="5"/>
    </row>
    <row r="81" spans="1:4">
      <c r="A81" t="s">
        <v>170</v>
      </c>
      <c r="B81" s="87" t="s">
        <v>172</v>
      </c>
      <c r="C81" s="47" t="s">
        <v>117</v>
      </c>
      <c r="D81" s="5"/>
    </row>
    <row r="82" spans="1:4">
      <c r="A82" t="s">
        <v>170</v>
      </c>
      <c r="B82" s="87" t="s">
        <v>173</v>
      </c>
      <c r="C82" s="47" t="s">
        <v>18</v>
      </c>
      <c r="D82" s="5"/>
    </row>
    <row r="83" spans="1:4">
      <c r="A83" t="s">
        <v>170</v>
      </c>
      <c r="B83" s="87" t="s">
        <v>174</v>
      </c>
      <c r="C83" s="47" t="s">
        <v>19</v>
      </c>
      <c r="D83" s="5"/>
    </row>
    <row r="84" spans="1:4">
      <c r="A84" t="s">
        <v>170</v>
      </c>
      <c r="B84" s="87" t="s">
        <v>175</v>
      </c>
      <c r="C84" s="47" t="s">
        <v>11</v>
      </c>
      <c r="D84" s="5"/>
    </row>
    <row r="85" spans="1:4">
      <c r="A85" t="s">
        <v>170</v>
      </c>
      <c r="B85" s="87" t="s">
        <v>176</v>
      </c>
      <c r="C85" s="47" t="s">
        <v>12</v>
      </c>
      <c r="D85" s="5"/>
    </row>
    <row r="86" spans="1:4">
      <c r="A86" t="s">
        <v>170</v>
      </c>
      <c r="B86" s="87" t="s">
        <v>172</v>
      </c>
      <c r="C86" s="47" t="s">
        <v>13</v>
      </c>
      <c r="D86" s="5"/>
    </row>
    <row r="87" spans="1:4">
      <c r="A87" t="s">
        <v>170</v>
      </c>
      <c r="B87" s="87" t="s">
        <v>177</v>
      </c>
      <c r="C87" s="47" t="s">
        <v>123</v>
      </c>
      <c r="D87" s="5"/>
    </row>
    <row r="88" spans="1:4">
      <c r="A88" t="s">
        <v>170</v>
      </c>
      <c r="B88" s="87" t="s">
        <v>171</v>
      </c>
      <c r="C88" s="47" t="s">
        <v>9</v>
      </c>
      <c r="D88" s="5"/>
    </row>
    <row r="89" spans="1:4">
      <c r="A89" t="s">
        <v>170</v>
      </c>
      <c r="B89" s="87" t="s">
        <v>178</v>
      </c>
      <c r="C89" s="47" t="s">
        <v>10</v>
      </c>
      <c r="D89" s="5"/>
    </row>
    <row r="90" spans="1:4">
      <c r="A90" t="s">
        <v>170</v>
      </c>
      <c r="B90" s="87" t="s">
        <v>179</v>
      </c>
      <c r="C90" s="47" t="s">
        <v>85</v>
      </c>
      <c r="D90" s="5"/>
    </row>
    <row r="91" spans="1:4">
      <c r="A91" t="s">
        <v>170</v>
      </c>
      <c r="B91" s="87" t="s">
        <v>180</v>
      </c>
      <c r="C91" s="47" t="s">
        <v>125</v>
      </c>
      <c r="D91" s="5"/>
    </row>
    <row r="92" spans="1:4">
      <c r="A92" t="s">
        <v>170</v>
      </c>
      <c r="B92" s="87" t="s">
        <v>181</v>
      </c>
      <c r="C92" s="47" t="s">
        <v>126</v>
      </c>
      <c r="D92" s="5"/>
    </row>
    <row r="93" spans="1:4">
      <c r="A93" t="s">
        <v>121</v>
      </c>
      <c r="B93" s="87" t="s">
        <v>162</v>
      </c>
      <c r="C93" s="47" t="s">
        <v>164</v>
      </c>
      <c r="D93" s="5"/>
    </row>
    <row r="94" spans="1:4">
      <c r="A94" t="s">
        <v>121</v>
      </c>
      <c r="B94" s="87" t="s">
        <v>133</v>
      </c>
      <c r="C94" s="47" t="s">
        <v>73</v>
      </c>
      <c r="D94" s="5"/>
    </row>
    <row r="95" spans="1:4">
      <c r="A95" t="s">
        <v>121</v>
      </c>
      <c r="B95" s="87" t="s">
        <v>134</v>
      </c>
      <c r="C95" s="47" t="s">
        <v>128</v>
      </c>
      <c r="D95" s="5"/>
    </row>
    <row r="96" spans="1:4">
      <c r="A96" t="s">
        <v>121</v>
      </c>
      <c r="B96" s="87" t="s">
        <v>135</v>
      </c>
      <c r="C96" s="47" t="s">
        <v>129</v>
      </c>
      <c r="D96" s="5"/>
    </row>
    <row r="97" spans="1:4">
      <c r="A97" t="s">
        <v>121</v>
      </c>
      <c r="B97" s="87" t="s">
        <v>136</v>
      </c>
      <c r="C97" s="47" t="s">
        <v>130</v>
      </c>
      <c r="D97" s="5"/>
    </row>
    <row r="98" spans="1:4">
      <c r="A98" t="s">
        <v>121</v>
      </c>
      <c r="B98" s="87" t="s">
        <v>137</v>
      </c>
      <c r="C98" s="47" t="s">
        <v>131</v>
      </c>
      <c r="D98" s="5"/>
    </row>
    <row r="99" spans="1:4">
      <c r="A99" t="s">
        <v>121</v>
      </c>
      <c r="B99" s="87" t="s">
        <v>138</v>
      </c>
      <c r="C99" s="47" t="s">
        <v>132</v>
      </c>
      <c r="D99" s="5"/>
    </row>
    <row r="100" spans="1:4">
      <c r="A100" t="s">
        <v>121</v>
      </c>
      <c r="B100" s="87" t="s">
        <v>182</v>
      </c>
      <c r="C100" s="47" t="s">
        <v>74</v>
      </c>
      <c r="D100" s="5"/>
    </row>
    <row r="101" spans="1:4">
      <c r="A101" t="s">
        <v>121</v>
      </c>
      <c r="B101" s="57" t="s">
        <v>139</v>
      </c>
      <c r="C101" s="47" t="s">
        <v>140</v>
      </c>
      <c r="D101" s="5"/>
    </row>
    <row r="102" spans="1:4">
      <c r="A102" t="s">
        <v>121</v>
      </c>
      <c r="B102" s="54" t="s">
        <v>143</v>
      </c>
      <c r="C102" s="47" t="s">
        <v>97</v>
      </c>
      <c r="D102" s="5"/>
    </row>
    <row r="103" spans="1:4">
      <c r="A103" t="s">
        <v>121</v>
      </c>
      <c r="B103" s="54" t="s">
        <v>141</v>
      </c>
      <c r="C103" s="47" t="s">
        <v>75</v>
      </c>
      <c r="D103" s="5"/>
    </row>
    <row r="104" spans="1:4">
      <c r="A104" t="s">
        <v>121</v>
      </c>
      <c r="B104" s="54" t="s">
        <v>142</v>
      </c>
      <c r="C104" s="47" t="s">
        <v>72</v>
      </c>
      <c r="D104" s="5"/>
    </row>
    <row r="105" spans="1:4">
      <c r="A105" t="s">
        <v>121</v>
      </c>
      <c r="B105" s="54" t="s">
        <v>183</v>
      </c>
      <c r="C105" s="47" t="s">
        <v>96</v>
      </c>
      <c r="D105" s="5"/>
    </row>
    <row r="106" spans="1:4">
      <c r="A106" t="s">
        <v>121</v>
      </c>
      <c r="B106" s="54" t="s">
        <v>187</v>
      </c>
      <c r="C106" s="47" t="s">
        <v>188</v>
      </c>
      <c r="D106" s="5"/>
    </row>
    <row r="107" spans="1:4">
      <c r="A107" t="s">
        <v>121</v>
      </c>
      <c r="B107" s="54" t="s">
        <v>165</v>
      </c>
      <c r="C107" s="47" t="s">
        <v>166</v>
      </c>
      <c r="D107" s="5"/>
    </row>
    <row r="108" spans="1:4">
      <c r="B108" s="55"/>
      <c r="C108" s="55"/>
    </row>
    <row r="109" spans="1:4">
      <c r="B109" s="55"/>
      <c r="C109" s="55"/>
    </row>
    <row r="110" spans="1:4">
      <c r="B110" s="55"/>
      <c r="C110" s="55"/>
    </row>
    <row r="111" spans="1:4">
      <c r="B111" s="55"/>
      <c r="C111" s="55"/>
    </row>
    <row r="112" spans="1:4" hidden="1">
      <c r="B112" t="s">
        <v>216</v>
      </c>
      <c r="C112" t="s">
        <v>217</v>
      </c>
      <c r="D112" t="s">
        <v>215</v>
      </c>
    </row>
    <row r="113" spans="1:4" hidden="1">
      <c r="A113">
        <v>1</v>
      </c>
      <c r="B113" s="55" t="str">
        <f t="shared" ref="B113:C116" si="85">B2</f>
        <v>РВФЗ-10/1000</v>
      </c>
      <c r="C113" s="55">
        <f t="shared" si="85"/>
        <v>34320</v>
      </c>
      <c r="D113">
        <f>'Сводная информация'!$C$3</f>
        <v>4</v>
      </c>
    </row>
    <row r="114" spans="1:4" hidden="1">
      <c r="B114" t="str">
        <f t="shared" si="85"/>
        <v>VM12-10-20/1000</v>
      </c>
      <c r="C114">
        <f t="shared" si="85"/>
        <v>117020</v>
      </c>
      <c r="D114">
        <f>'Сводная информация'!$C$3</f>
        <v>4</v>
      </c>
    </row>
    <row r="115" spans="1:4" hidden="1">
      <c r="B115" t="str">
        <f t="shared" si="85"/>
        <v>CVM 1.2 ВЕАШ468389.001-01</v>
      </c>
      <c r="C115">
        <f t="shared" si="85"/>
        <v>29620</v>
      </c>
      <c r="D115">
        <f>'Сводная информация'!$C$3</f>
        <v>4</v>
      </c>
    </row>
    <row r="116" spans="1:4" hidden="1">
      <c r="B116" t="str">
        <f t="shared" si="85"/>
        <v>АГАТ 200. А</v>
      </c>
      <c r="C116">
        <f t="shared" si="85"/>
        <v>70833</v>
      </c>
      <c r="D116">
        <f>'Сводная информация'!$C$3</f>
        <v>4</v>
      </c>
    </row>
    <row r="117" spans="1:4" hidden="1">
      <c r="B117" t="str">
        <f t="shared" ref="B117:C123" si="86">B7</f>
        <v>ТПЛ-10 200/5 0,5S/10P</v>
      </c>
      <c r="C117">
        <f t="shared" si="86"/>
        <v>23040</v>
      </c>
      <c r="D117">
        <f>IFERROR('Сводная информация'!$C$3*(B6),0)</f>
        <v>12</v>
      </c>
    </row>
    <row r="118" spans="1:4" hidden="1">
      <c r="B118" t="str">
        <f t="shared" si="86"/>
        <v>РВЗ-10/1000</v>
      </c>
      <c r="C118">
        <f t="shared" si="86"/>
        <v>22568</v>
      </c>
      <c r="D118">
        <f>'Сводная информация'!$C$3</f>
        <v>4</v>
      </c>
    </row>
    <row r="119" spans="1:4" hidden="1">
      <c r="B119" t="str">
        <f t="shared" si="86"/>
        <v>Меркурий 234 АRTM(Х)2-00 (D)PBR.G</v>
      </c>
      <c r="C119">
        <f t="shared" si="86"/>
        <v>17540</v>
      </c>
      <c r="D119">
        <f>'Сводная информация'!$C$3</f>
        <v>4</v>
      </c>
    </row>
    <row r="120" spans="1:4" hidden="1">
      <c r="B120" t="str">
        <f t="shared" si="86"/>
        <v/>
      </c>
      <c r="C120">
        <f t="shared" si="86"/>
        <v>0</v>
      </c>
      <c r="D120">
        <f>'Сводная информация'!$C$3</f>
        <v>4</v>
      </c>
    </row>
    <row r="121" spans="1:4" hidden="1">
      <c r="B121" t="str">
        <f t="shared" si="86"/>
        <v/>
      </c>
      <c r="C121">
        <f t="shared" si="86"/>
        <v>0</v>
      </c>
      <c r="D121">
        <f>'Сводная информация'!$C$3</f>
        <v>4</v>
      </c>
    </row>
    <row r="122" spans="1:4" hidden="1">
      <c r="B122" t="str">
        <f t="shared" si="86"/>
        <v/>
      </c>
      <c r="C122">
        <f t="shared" si="86"/>
        <v>0</v>
      </c>
      <c r="D122">
        <f>'Сводная информация'!$C$3</f>
        <v>4</v>
      </c>
    </row>
    <row r="123" spans="1:4" hidden="1">
      <c r="B123" t="str">
        <f t="shared" si="86"/>
        <v/>
      </c>
      <c r="C123">
        <f t="shared" si="86"/>
        <v>0</v>
      </c>
      <c r="D123">
        <f>'Сводная информация'!$C$3</f>
        <v>4</v>
      </c>
    </row>
    <row r="124" spans="1:4" hidden="1">
      <c r="B124" t="str">
        <f>B16</f>
        <v>ТЗЛМ-1</v>
      </c>
      <c r="C124">
        <f>C16</f>
        <v>3450</v>
      </c>
      <c r="D124">
        <f>'Сводная информация'!$C$3</f>
        <v>4</v>
      </c>
    </row>
    <row r="125" spans="1:4" hidden="1">
      <c r="B125" t="str">
        <f>B18</f>
        <v/>
      </c>
      <c r="C125">
        <f>C18</f>
        <v>0</v>
      </c>
      <c r="D125">
        <f>IFERROR('Сводная информация'!$C$3*B17,0)</f>
        <v>0</v>
      </c>
    </row>
    <row r="126" spans="1:4" hidden="1">
      <c r="B126" t="str">
        <f>B20</f>
        <v/>
      </c>
      <c r="C126">
        <f>C20</f>
        <v>0</v>
      </c>
      <c r="D126">
        <f>IFERROR('Сводная информация'!$C$3*B19,0)</f>
        <v>0</v>
      </c>
    </row>
    <row r="127" spans="1:4" hidden="1">
      <c r="B127" t="str">
        <f>B22</f>
        <v/>
      </c>
      <c r="C127">
        <f>C22</f>
        <v>0</v>
      </c>
      <c r="D127">
        <f>IFERROR('Сводная информация'!$C$3*B21,0)</f>
        <v>0</v>
      </c>
    </row>
    <row r="128" spans="1:4" hidden="1">
      <c r="B128" t="str">
        <f>B24</f>
        <v/>
      </c>
      <c r="C128">
        <f>C24</f>
        <v>0</v>
      </c>
      <c r="D128">
        <f>IFERROR('Сводная информация'!$C$3*B23,0)</f>
        <v>0</v>
      </c>
    </row>
    <row r="129" spans="1:4" hidden="1">
      <c r="B129" t="str">
        <f>B26</f>
        <v/>
      </c>
      <c r="C129">
        <f>C26</f>
        <v>0</v>
      </c>
      <c r="D129">
        <f>IFERROR('Сводная информация'!$C$3*B25,0)</f>
        <v>0</v>
      </c>
    </row>
    <row r="130" spans="1:4" hidden="1">
      <c r="B130" t="str">
        <f>B28</f>
        <v/>
      </c>
      <c r="C130">
        <f>C28</f>
        <v>0</v>
      </c>
      <c r="D130">
        <f>IFERROR('Сводная информация'!$C$3*B27,0)</f>
        <v>0</v>
      </c>
    </row>
    <row r="131" spans="1:4" hidden="1">
      <c r="A131">
        <v>2</v>
      </c>
      <c r="B131" t="str">
        <f t="shared" ref="B131:B134" si="87">D2</f>
        <v>РВФЗ-10/1000</v>
      </c>
      <c r="C131">
        <f t="shared" ref="C131:C134" si="88">E2</f>
        <v>34320</v>
      </c>
      <c r="D131">
        <f>'Сводная информация'!$C$4</f>
        <v>2</v>
      </c>
    </row>
    <row r="132" spans="1:4" hidden="1">
      <c r="B132" t="str">
        <f t="shared" si="87"/>
        <v>VM12-10-20/1000</v>
      </c>
      <c r="C132">
        <f t="shared" si="88"/>
        <v>117020</v>
      </c>
      <c r="D132">
        <f>'Сводная информация'!$C$4</f>
        <v>2</v>
      </c>
    </row>
    <row r="133" spans="1:4" hidden="1">
      <c r="B133" t="str">
        <f t="shared" si="87"/>
        <v>CVM 1.2 ВЕАШ468389.001-01</v>
      </c>
      <c r="C133">
        <f t="shared" si="88"/>
        <v>29620</v>
      </c>
      <c r="D133">
        <f>'Сводная информация'!$C$4</f>
        <v>2</v>
      </c>
    </row>
    <row r="134" spans="1:4" hidden="1">
      <c r="B134" t="str">
        <f t="shared" si="87"/>
        <v>АГАТ 200. А</v>
      </c>
      <c r="C134">
        <f t="shared" si="88"/>
        <v>70833</v>
      </c>
      <c r="D134">
        <f>'Сводная информация'!$C$4</f>
        <v>2</v>
      </c>
    </row>
    <row r="135" spans="1:4" hidden="1">
      <c r="B135" t="str">
        <f t="shared" ref="B135:C141" si="89">D7</f>
        <v>ТПЛ-10 600/5 0,5S/10P</v>
      </c>
      <c r="C135">
        <f t="shared" si="89"/>
        <v>23040</v>
      </c>
      <c r="D135">
        <f>IFERROR('Сводная информация'!$C$4*D6,0)</f>
        <v>6</v>
      </c>
    </row>
    <row r="136" spans="1:4" hidden="1">
      <c r="B136" t="str">
        <f t="shared" si="89"/>
        <v>РВЗ-10/1000</v>
      </c>
      <c r="C136">
        <f t="shared" si="89"/>
        <v>22568</v>
      </c>
      <c r="D136">
        <f>'Сводная информация'!$C$4</f>
        <v>2</v>
      </c>
    </row>
    <row r="137" spans="1:4" hidden="1">
      <c r="B137" t="str">
        <f t="shared" si="89"/>
        <v>Меркурий 234 АRTM(Х)2-00 (D)PBR.G</v>
      </c>
      <c r="C137">
        <f t="shared" si="89"/>
        <v>17540</v>
      </c>
      <c r="D137">
        <f>'Сводная информация'!$C$4</f>
        <v>2</v>
      </c>
    </row>
    <row r="138" spans="1:4" hidden="1">
      <c r="B138" t="str">
        <f t="shared" si="89"/>
        <v/>
      </c>
      <c r="C138">
        <f t="shared" si="89"/>
        <v>0</v>
      </c>
      <c r="D138">
        <f>'Сводная информация'!$C$4</f>
        <v>2</v>
      </c>
    </row>
    <row r="139" spans="1:4" hidden="1">
      <c r="B139" t="str">
        <f t="shared" si="89"/>
        <v/>
      </c>
      <c r="C139">
        <f t="shared" si="89"/>
        <v>0</v>
      </c>
      <c r="D139">
        <f>'Сводная информация'!$C$4</f>
        <v>2</v>
      </c>
    </row>
    <row r="140" spans="1:4" hidden="1">
      <c r="B140" t="str">
        <f t="shared" si="89"/>
        <v/>
      </c>
      <c r="C140">
        <f t="shared" si="89"/>
        <v>0</v>
      </c>
      <c r="D140">
        <f>'Сводная информация'!$C$4</f>
        <v>2</v>
      </c>
    </row>
    <row r="141" spans="1:4" hidden="1">
      <c r="B141" t="str">
        <f t="shared" si="89"/>
        <v/>
      </c>
      <c r="C141">
        <f t="shared" si="89"/>
        <v>0</v>
      </c>
      <c r="D141">
        <f>'Сводная информация'!$C$4</f>
        <v>2</v>
      </c>
    </row>
    <row r="142" spans="1:4" hidden="1">
      <c r="B142" t="str">
        <f>D16</f>
        <v>ТЗЛМ-1</v>
      </c>
      <c r="C142">
        <f>E16</f>
        <v>3450</v>
      </c>
      <c r="D142">
        <f>'Сводная информация'!$C$4</f>
        <v>2</v>
      </c>
    </row>
    <row r="143" spans="1:4" hidden="1">
      <c r="B143" t="str">
        <f>D18</f>
        <v/>
      </c>
      <c r="C143">
        <f>E18</f>
        <v>0</v>
      </c>
      <c r="D143">
        <f>IFERROR('Сводная информация'!$C$4*D17,0)</f>
        <v>0</v>
      </c>
    </row>
    <row r="144" spans="1:4" hidden="1">
      <c r="B144" t="str">
        <f>D20</f>
        <v/>
      </c>
      <c r="C144">
        <f>E20</f>
        <v>0</v>
      </c>
      <c r="D144">
        <f>IFERROR('Сводная информация'!$C$4*D19,0)</f>
        <v>0</v>
      </c>
    </row>
    <row r="145" spans="1:4" hidden="1">
      <c r="B145" t="str">
        <f>D22</f>
        <v/>
      </c>
      <c r="C145">
        <f>E22</f>
        <v>0</v>
      </c>
      <c r="D145">
        <f>IFERROR('Сводная информация'!$C$4*D21,0)</f>
        <v>0</v>
      </c>
    </row>
    <row r="146" spans="1:4" hidden="1">
      <c r="B146" t="str">
        <f>D24</f>
        <v/>
      </c>
      <c r="C146">
        <f>E24</f>
        <v>0</v>
      </c>
      <c r="D146">
        <f>IFERROR('Сводная информация'!$C$4*D23,0)</f>
        <v>0</v>
      </c>
    </row>
    <row r="147" spans="1:4" hidden="1">
      <c r="B147" t="str">
        <f>D26</f>
        <v/>
      </c>
      <c r="C147">
        <f>E26</f>
        <v>0</v>
      </c>
      <c r="D147">
        <f>IFERROR('Сводная информация'!$C$4*D25,0)</f>
        <v>0</v>
      </c>
    </row>
    <row r="148" spans="1:4" hidden="1">
      <c r="B148" t="str">
        <f>D28</f>
        <v/>
      </c>
      <c r="C148">
        <f>E28</f>
        <v>0</v>
      </c>
      <c r="D148">
        <f>IFERROR('Сводная информация'!$C$4*D27,0)</f>
        <v>0</v>
      </c>
    </row>
    <row r="149" spans="1:4" hidden="1">
      <c r="A149">
        <v>3</v>
      </c>
      <c r="B149" t="str">
        <f t="shared" ref="B149:B152" si="90">F2</f>
        <v>РВФЗ-10/1000</v>
      </c>
      <c r="C149">
        <f t="shared" ref="C149:C152" si="91">G2</f>
        <v>34320</v>
      </c>
      <c r="D149">
        <f>'Сводная информация'!$C$5</f>
        <v>2</v>
      </c>
    </row>
    <row r="150" spans="1:4" hidden="1">
      <c r="B150" t="str">
        <f t="shared" si="90"/>
        <v>VM12-10-20/1000</v>
      </c>
      <c r="C150">
        <f t="shared" si="91"/>
        <v>117020</v>
      </c>
      <c r="D150">
        <f>'Сводная информация'!$C$5</f>
        <v>2</v>
      </c>
    </row>
    <row r="151" spans="1:4" hidden="1">
      <c r="B151" t="str">
        <f t="shared" si="90"/>
        <v>CVM 1.2 ВЕАШ468389.001-01</v>
      </c>
      <c r="C151">
        <f t="shared" si="91"/>
        <v>29620</v>
      </c>
      <c r="D151">
        <f>'Сводная информация'!$C$5</f>
        <v>2</v>
      </c>
    </row>
    <row r="152" spans="1:4" hidden="1">
      <c r="B152" t="str">
        <f t="shared" si="90"/>
        <v>АГАТ 200. АВ</v>
      </c>
      <c r="C152">
        <f t="shared" si="91"/>
        <v>79167</v>
      </c>
      <c r="D152">
        <f>'Сводная информация'!$C$5</f>
        <v>2</v>
      </c>
    </row>
    <row r="153" spans="1:4" hidden="1">
      <c r="B153" t="str">
        <f t="shared" ref="B153:C159" si="92">F7</f>
        <v>ТПЛ-10 1000/5 0,5S/10P</v>
      </c>
      <c r="C153">
        <f t="shared" si="92"/>
        <v>22440</v>
      </c>
      <c r="D153">
        <f>IFERROR('Сводная информация'!$C$5*F6,0)</f>
        <v>6</v>
      </c>
    </row>
    <row r="154" spans="1:4" hidden="1">
      <c r="B154" t="str">
        <f t="shared" si="92"/>
        <v>РВЗ-10/1000</v>
      </c>
      <c r="C154">
        <f t="shared" si="92"/>
        <v>22568</v>
      </c>
      <c r="D154">
        <f>'Сводная информация'!$C$5</f>
        <v>2</v>
      </c>
    </row>
    <row r="155" spans="1:4" hidden="1">
      <c r="B155" t="str">
        <f t="shared" si="92"/>
        <v>Меркурий 234 АRTM(Х)2-00 (D)PBR.G</v>
      </c>
      <c r="C155">
        <f t="shared" si="92"/>
        <v>17540</v>
      </c>
      <c r="D155">
        <f>'Сводная информация'!$C$5</f>
        <v>2</v>
      </c>
    </row>
    <row r="156" spans="1:4" hidden="1">
      <c r="B156" t="str">
        <f t="shared" si="92"/>
        <v/>
      </c>
      <c r="C156">
        <f t="shared" si="92"/>
        <v>0</v>
      </c>
      <c r="D156">
        <f>'Сводная информация'!$C$5</f>
        <v>2</v>
      </c>
    </row>
    <row r="157" spans="1:4" hidden="1">
      <c r="B157" t="str">
        <f t="shared" si="92"/>
        <v/>
      </c>
      <c r="C157">
        <f t="shared" si="92"/>
        <v>0</v>
      </c>
      <c r="D157">
        <f>'Сводная информация'!$C$5</f>
        <v>2</v>
      </c>
    </row>
    <row r="158" spans="1:4" hidden="1">
      <c r="B158" t="str">
        <f t="shared" si="92"/>
        <v/>
      </c>
      <c r="C158">
        <f t="shared" si="92"/>
        <v>0</v>
      </c>
      <c r="D158">
        <f>'Сводная информация'!$C$5</f>
        <v>2</v>
      </c>
    </row>
    <row r="159" spans="1:4" hidden="1">
      <c r="B159" t="str">
        <f t="shared" si="92"/>
        <v>ОПН-П-6/7.2/10/550</v>
      </c>
      <c r="C159">
        <f t="shared" si="92"/>
        <v>5700</v>
      </c>
      <c r="D159">
        <f>'Сводная информация'!$C$5</f>
        <v>2</v>
      </c>
    </row>
    <row r="160" spans="1:4" hidden="1">
      <c r="B160" t="str">
        <f>F16</f>
        <v/>
      </c>
      <c r="C160">
        <f>G16</f>
        <v>0</v>
      </c>
      <c r="D160">
        <f>'Сводная информация'!$C$5</f>
        <v>2</v>
      </c>
    </row>
    <row r="161" spans="1:4" hidden="1">
      <c r="B161" t="str">
        <f>F18</f>
        <v/>
      </c>
      <c r="C161">
        <f>G18</f>
        <v>0</v>
      </c>
      <c r="D161">
        <f>IFERROR('Сводная информация'!$C$5*F17,0)</f>
        <v>0</v>
      </c>
    </row>
    <row r="162" spans="1:4" hidden="1">
      <c r="B162" t="str">
        <f>F20</f>
        <v/>
      </c>
      <c r="C162">
        <f>G20</f>
        <v>0</v>
      </c>
      <c r="D162">
        <f>IFERROR('Сводная информация'!$C$5*F19,0)</f>
        <v>0</v>
      </c>
    </row>
    <row r="163" spans="1:4" hidden="1">
      <c r="B163" t="str">
        <f>F22</f>
        <v/>
      </c>
      <c r="C163">
        <f>G22</f>
        <v>0</v>
      </c>
      <c r="D163">
        <f>IFERROR('Сводная информация'!$C$5*F21,0)</f>
        <v>0</v>
      </c>
    </row>
    <row r="164" spans="1:4" hidden="1">
      <c r="B164" t="str">
        <f>F24</f>
        <v/>
      </c>
      <c r="C164">
        <f>G24</f>
        <v>0</v>
      </c>
      <c r="D164">
        <f>IFERROR('Сводная информация'!$C$5*F23,0)</f>
        <v>0</v>
      </c>
    </row>
    <row r="165" spans="1:4" hidden="1">
      <c r="B165" t="str">
        <f>F26</f>
        <v/>
      </c>
      <c r="C165">
        <f>G26</f>
        <v>0</v>
      </c>
      <c r="D165">
        <f>IFERROR('Сводная информация'!$C$5*F25,0)</f>
        <v>0</v>
      </c>
    </row>
    <row r="166" spans="1:4" hidden="1">
      <c r="B166" t="str">
        <f>F28</f>
        <v/>
      </c>
      <c r="C166">
        <f>G28</f>
        <v>0</v>
      </c>
      <c r="D166">
        <f>IFERROR('Сводная информация'!$C$5*F27,0)</f>
        <v>0</v>
      </c>
    </row>
    <row r="167" spans="1:4" hidden="1">
      <c r="A167">
        <v>4</v>
      </c>
      <c r="B167" t="str">
        <f t="shared" ref="B167:C170" si="93">H2</f>
        <v>РВФЗ-10/1000</v>
      </c>
      <c r="C167">
        <f t="shared" si="93"/>
        <v>34320</v>
      </c>
      <c r="D167">
        <f>'Сводная информация'!$C$6</f>
        <v>2</v>
      </c>
    </row>
    <row r="168" spans="1:4" hidden="1">
      <c r="B168" t="str">
        <f t="shared" si="93"/>
        <v/>
      </c>
      <c r="C168">
        <f t="shared" si="93"/>
        <v>0</v>
      </c>
      <c r="D168">
        <f>'Сводная информация'!$C$6</f>
        <v>2</v>
      </c>
    </row>
    <row r="169" spans="1:4" hidden="1">
      <c r="B169" t="str">
        <f t="shared" si="93"/>
        <v/>
      </c>
      <c r="C169">
        <f t="shared" si="93"/>
        <v>0</v>
      </c>
      <c r="D169">
        <f>'Сводная информация'!$C$6</f>
        <v>2</v>
      </c>
    </row>
    <row r="170" spans="1:4" hidden="1">
      <c r="B170" t="str">
        <f t="shared" si="93"/>
        <v/>
      </c>
      <c r="C170">
        <f t="shared" si="93"/>
        <v>0</v>
      </c>
      <c r="D170">
        <f>'Сводная информация'!$C$6</f>
        <v>2</v>
      </c>
    </row>
    <row r="171" spans="1:4" hidden="1">
      <c r="B171" t="str">
        <f t="shared" ref="B171:C177" si="94">H7</f>
        <v/>
      </c>
      <c r="C171">
        <f t="shared" si="94"/>
        <v>0</v>
      </c>
      <c r="D171">
        <f>IFERROR('Сводная информация'!$C$6*H6,0)</f>
        <v>0</v>
      </c>
    </row>
    <row r="172" spans="1:4" hidden="1">
      <c r="B172" t="str">
        <f t="shared" si="94"/>
        <v/>
      </c>
      <c r="C172">
        <f t="shared" si="94"/>
        <v>0</v>
      </c>
      <c r="D172">
        <f>'Сводная информация'!$C$6</f>
        <v>2</v>
      </c>
    </row>
    <row r="173" spans="1:4" hidden="1">
      <c r="B173" t="str">
        <f t="shared" si="94"/>
        <v/>
      </c>
      <c r="C173">
        <f t="shared" si="94"/>
        <v>0</v>
      </c>
      <c r="D173">
        <f>'Сводная информация'!$C$6</f>
        <v>2</v>
      </c>
    </row>
    <row r="174" spans="1:4" hidden="1">
      <c r="B174" t="str">
        <f t="shared" si="94"/>
        <v/>
      </c>
      <c r="C174">
        <f t="shared" si="94"/>
        <v>0</v>
      </c>
      <c r="D174">
        <f>'Сводная информация'!$C$6</f>
        <v>2</v>
      </c>
    </row>
    <row r="175" spans="1:4" hidden="1">
      <c r="B175" t="str">
        <f t="shared" si="94"/>
        <v>ТЛС-25</v>
      </c>
      <c r="C175">
        <f t="shared" si="94"/>
        <v>214000</v>
      </c>
      <c r="D175">
        <f>'Сводная информация'!$C$6</f>
        <v>2</v>
      </c>
    </row>
    <row r="176" spans="1:4" hidden="1">
      <c r="B176" t="str">
        <f t="shared" si="94"/>
        <v>3хПатрон ПТ</v>
      </c>
      <c r="C176">
        <f t="shared" si="94"/>
        <v>3030</v>
      </c>
      <c r="D176">
        <f>'Сводная информация'!$C$6</f>
        <v>2</v>
      </c>
    </row>
    <row r="177" spans="1:4" hidden="1">
      <c r="B177" t="str">
        <f t="shared" si="94"/>
        <v/>
      </c>
      <c r="C177">
        <f t="shared" si="94"/>
        <v>0</v>
      </c>
      <c r="D177">
        <f>'Сводная информация'!$C$6</f>
        <v>2</v>
      </c>
    </row>
    <row r="178" spans="1:4" hidden="1">
      <c r="B178" t="str">
        <f>H16</f>
        <v/>
      </c>
      <c r="C178">
        <f>I16</f>
        <v>0</v>
      </c>
      <c r="D178">
        <f>'Сводная информация'!$C$6</f>
        <v>2</v>
      </c>
    </row>
    <row r="179" spans="1:4" hidden="1">
      <c r="B179" t="str">
        <f>H18</f>
        <v/>
      </c>
      <c r="C179">
        <f>I18</f>
        <v>0</v>
      </c>
      <c r="D179">
        <f>IFERROR('Сводная информация'!$C$5*H17,0)</f>
        <v>0</v>
      </c>
    </row>
    <row r="180" spans="1:4" hidden="1">
      <c r="B180" t="str">
        <f>H20</f>
        <v/>
      </c>
      <c r="C180">
        <f>I20</f>
        <v>0</v>
      </c>
      <c r="D180">
        <f>IFERROR('Сводная информация'!$C$5*H19,0)</f>
        <v>0</v>
      </c>
    </row>
    <row r="181" spans="1:4" hidden="1">
      <c r="B181" t="str">
        <f>H22</f>
        <v/>
      </c>
      <c r="C181">
        <f>I22</f>
        <v>0</v>
      </c>
      <c r="D181">
        <f>IFERROR('Сводная информация'!$C$5*H21,0)</f>
        <v>0</v>
      </c>
    </row>
    <row r="182" spans="1:4" hidden="1">
      <c r="B182" t="str">
        <f>H24</f>
        <v/>
      </c>
      <c r="C182">
        <f>I24</f>
        <v>0</v>
      </c>
      <c r="D182">
        <f>IFERROR('Сводная информация'!$C$5*H23,0)</f>
        <v>0</v>
      </c>
    </row>
    <row r="183" spans="1:4" hidden="1">
      <c r="B183" t="str">
        <f>H26</f>
        <v/>
      </c>
      <c r="C183">
        <f>I26</f>
        <v>0</v>
      </c>
      <c r="D183">
        <f>IFERROR('Сводная информация'!$C$5*H25,0)</f>
        <v>0</v>
      </c>
    </row>
    <row r="184" spans="1:4" hidden="1">
      <c r="B184" t="str">
        <f>H28</f>
        <v/>
      </c>
      <c r="C184">
        <f>I28</f>
        <v>0</v>
      </c>
      <c r="D184">
        <f>IFERROR('Сводная информация'!$C$5*H27,0)</f>
        <v>0</v>
      </c>
    </row>
    <row r="185" spans="1:4" hidden="1">
      <c r="A185">
        <v>5</v>
      </c>
      <c r="B185" t="str">
        <f t="shared" ref="B185:B188" si="95">J2</f>
        <v>РВФЗ-10/1000</v>
      </c>
      <c r="C185">
        <f t="shared" ref="C185:C188" si="96">K2</f>
        <v>34320</v>
      </c>
      <c r="D185">
        <f>'Сводная информация'!$C$7</f>
        <v>2</v>
      </c>
    </row>
    <row r="186" spans="1:4" hidden="1">
      <c r="B186" t="str">
        <f t="shared" si="95"/>
        <v/>
      </c>
      <c r="C186">
        <f t="shared" si="96"/>
        <v>0</v>
      </c>
      <c r="D186">
        <f>'Сводная информация'!$C$7</f>
        <v>2</v>
      </c>
    </row>
    <row r="187" spans="1:4" hidden="1">
      <c r="B187" t="str">
        <f t="shared" si="95"/>
        <v/>
      </c>
      <c r="C187">
        <f t="shared" si="96"/>
        <v>0</v>
      </c>
      <c r="D187">
        <f>'Сводная информация'!$C$7</f>
        <v>2</v>
      </c>
    </row>
    <row r="188" spans="1:4" hidden="1">
      <c r="B188" t="str">
        <f t="shared" si="95"/>
        <v>АГАТ 200. В</v>
      </c>
      <c r="C188">
        <f t="shared" si="96"/>
        <v>70833</v>
      </c>
      <c r="D188">
        <f>'Сводная информация'!$C$7</f>
        <v>2</v>
      </c>
    </row>
    <row r="189" spans="1:4" hidden="1">
      <c r="B189" t="str">
        <f t="shared" ref="B189:C195" si="97">J7</f>
        <v/>
      </c>
      <c r="C189">
        <f t="shared" si="97"/>
        <v>0</v>
      </c>
      <c r="D189">
        <f>IFERROR('Сводная информация'!$C$7*J6,0)</f>
        <v>0</v>
      </c>
    </row>
    <row r="190" spans="1:4" hidden="1">
      <c r="B190" t="str">
        <f t="shared" si="97"/>
        <v>ЗР-10</v>
      </c>
      <c r="C190">
        <f t="shared" si="97"/>
        <v>11519</v>
      </c>
      <c r="D190">
        <f>'Сводная информация'!$C$7</f>
        <v>2</v>
      </c>
    </row>
    <row r="191" spans="1:4" hidden="1">
      <c r="B191" t="str">
        <f t="shared" si="97"/>
        <v/>
      </c>
      <c r="C191">
        <f t="shared" si="97"/>
        <v>0</v>
      </c>
      <c r="D191">
        <f>'Сводная информация'!$C$7</f>
        <v>2</v>
      </c>
    </row>
    <row r="192" spans="1:4" hidden="1">
      <c r="B192" t="str">
        <f t="shared" si="97"/>
        <v>НАМИТ-6</v>
      </c>
      <c r="C192">
        <f t="shared" si="97"/>
        <v>94800</v>
      </c>
      <c r="D192">
        <f>'Сводная информация'!$C$7</f>
        <v>2</v>
      </c>
    </row>
    <row r="193" spans="1:4" hidden="1">
      <c r="B193" t="str">
        <f t="shared" si="97"/>
        <v/>
      </c>
      <c r="C193">
        <f t="shared" si="97"/>
        <v>0</v>
      </c>
      <c r="D193">
        <f>'Сводная информация'!$C$7</f>
        <v>2</v>
      </c>
    </row>
    <row r="194" spans="1:4" hidden="1">
      <c r="B194" t="str">
        <f t="shared" si="97"/>
        <v/>
      </c>
      <c r="C194">
        <f t="shared" si="97"/>
        <v>0</v>
      </c>
      <c r="D194">
        <f>'Сводная информация'!$C$7</f>
        <v>2</v>
      </c>
    </row>
    <row r="195" spans="1:4" hidden="1">
      <c r="B195" t="str">
        <f t="shared" si="97"/>
        <v>ОПН-П-6/7.2/10/550</v>
      </c>
      <c r="C195">
        <f t="shared" si="97"/>
        <v>5700</v>
      </c>
      <c r="D195">
        <f>'Сводная информация'!$C$7</f>
        <v>2</v>
      </c>
    </row>
    <row r="196" spans="1:4" hidden="1">
      <c r="B196" t="str">
        <f>J16</f>
        <v/>
      </c>
      <c r="C196">
        <f>K16</f>
        <v>0</v>
      </c>
      <c r="D196">
        <f>'Сводная информация'!$C$7</f>
        <v>2</v>
      </c>
    </row>
    <row r="197" spans="1:4" hidden="1">
      <c r="B197" t="str">
        <f>J18</f>
        <v/>
      </c>
      <c r="C197">
        <f>K18</f>
        <v>0</v>
      </c>
      <c r="D197">
        <f>IFERROR('Сводная информация'!$C$7*J17,0)</f>
        <v>0</v>
      </c>
    </row>
    <row r="198" spans="1:4" hidden="1">
      <c r="B198" t="str">
        <f>J20</f>
        <v/>
      </c>
      <c r="C198">
        <f>K20</f>
        <v>0</v>
      </c>
      <c r="D198">
        <f>IFERROR('Сводная информация'!$C$7*J19,0)</f>
        <v>0</v>
      </c>
    </row>
    <row r="199" spans="1:4" hidden="1">
      <c r="B199" t="str">
        <f>J22</f>
        <v/>
      </c>
      <c r="C199">
        <f>K22</f>
        <v>0</v>
      </c>
      <c r="D199">
        <f>IFERROR('Сводная информация'!$C$7*J21,0)</f>
        <v>0</v>
      </c>
    </row>
    <row r="200" spans="1:4" hidden="1">
      <c r="B200" t="str">
        <f>J24</f>
        <v/>
      </c>
      <c r="C200">
        <f>K24</f>
        <v>0</v>
      </c>
      <c r="D200">
        <f>IFERROR('Сводная информация'!$C$7*J23,0)</f>
        <v>0</v>
      </c>
    </row>
    <row r="201" spans="1:4" hidden="1">
      <c r="B201" t="str">
        <f>J26</f>
        <v/>
      </c>
      <c r="C201">
        <f>K26</f>
        <v>0</v>
      </c>
      <c r="D201">
        <f>IFERROR('Сводная информация'!$C$7*J25,0)</f>
        <v>0</v>
      </c>
    </row>
    <row r="202" spans="1:4" hidden="1">
      <c r="B202" t="str">
        <f>J28</f>
        <v/>
      </c>
      <c r="C202">
        <f>K28</f>
        <v>0</v>
      </c>
      <c r="D202">
        <f>IFERROR('Сводная информация'!$C$7*J27,0)</f>
        <v>0</v>
      </c>
    </row>
    <row r="203" spans="1:4" hidden="1">
      <c r="A203">
        <v>6</v>
      </c>
      <c r="B203" t="str">
        <f t="shared" ref="B203:B206" si="98">L2</f>
        <v>РВФЗ-10/1000</v>
      </c>
      <c r="C203">
        <f t="shared" ref="C203:C206" si="99">M2</f>
        <v>34320</v>
      </c>
      <c r="D203">
        <f>'Сводная информация'!$C$8</f>
        <v>1</v>
      </c>
    </row>
    <row r="204" spans="1:4" hidden="1">
      <c r="B204" t="str">
        <f t="shared" si="98"/>
        <v>VM12-10-20/1000</v>
      </c>
      <c r="C204">
        <f t="shared" si="99"/>
        <v>117020</v>
      </c>
      <c r="D204">
        <f>'Сводная информация'!$C$8</f>
        <v>1</v>
      </c>
    </row>
    <row r="205" spans="1:4" hidden="1">
      <c r="B205" t="str">
        <f t="shared" si="98"/>
        <v>CVM 1.2 ВЕАШ468389.001-01</v>
      </c>
      <c r="C205">
        <f t="shared" si="99"/>
        <v>29620</v>
      </c>
      <c r="D205">
        <f>'Сводная информация'!$C$8</f>
        <v>1</v>
      </c>
    </row>
    <row r="206" spans="1:4" hidden="1">
      <c r="B206" t="str">
        <f t="shared" si="98"/>
        <v>АГАТ 200. АВ</v>
      </c>
      <c r="C206">
        <f t="shared" si="99"/>
        <v>79167</v>
      </c>
      <c r="D206">
        <f>'Сводная информация'!$C$8</f>
        <v>1</v>
      </c>
    </row>
    <row r="207" spans="1:4" hidden="1">
      <c r="B207" t="str">
        <f t="shared" ref="B207:B216" si="100">L7</f>
        <v>ТПЛ-10 800/5 0,5S/10P</v>
      </c>
      <c r="C207">
        <f t="shared" ref="C207:C216" si="101">M7</f>
        <v>23040</v>
      </c>
      <c r="D207">
        <f>IFERROR('Сводная информация'!$C$8*L6,0)</f>
        <v>3</v>
      </c>
    </row>
    <row r="208" spans="1:4" hidden="1">
      <c r="B208" t="str">
        <f t="shared" si="100"/>
        <v/>
      </c>
      <c r="C208">
        <f t="shared" si="101"/>
        <v>0</v>
      </c>
      <c r="D208">
        <f>'Сводная информация'!$C$8</f>
        <v>1</v>
      </c>
    </row>
    <row r="209" spans="1:4" hidden="1">
      <c r="B209" t="str">
        <f t="shared" si="100"/>
        <v/>
      </c>
      <c r="C209">
        <f t="shared" si="101"/>
        <v>0</v>
      </c>
      <c r="D209">
        <f>'Сводная информация'!$C$8</f>
        <v>1</v>
      </c>
    </row>
    <row r="210" spans="1:4" hidden="1">
      <c r="B210" t="str">
        <f t="shared" si="100"/>
        <v/>
      </c>
      <c r="C210">
        <f t="shared" si="101"/>
        <v>0</v>
      </c>
      <c r="D210">
        <f>'Сводная информация'!$C$8</f>
        <v>1</v>
      </c>
    </row>
    <row r="211" spans="1:4" hidden="1">
      <c r="B211" t="str">
        <f t="shared" si="100"/>
        <v/>
      </c>
      <c r="C211">
        <f t="shared" si="101"/>
        <v>0</v>
      </c>
      <c r="D211">
        <f>'Сводная информация'!$C$8</f>
        <v>1</v>
      </c>
    </row>
    <row r="212" spans="1:4" hidden="1">
      <c r="B212" t="str">
        <f t="shared" si="100"/>
        <v/>
      </c>
      <c r="C212">
        <f t="shared" si="101"/>
        <v>0</v>
      </c>
      <c r="D212">
        <f>'Сводная информация'!$C$8</f>
        <v>1</v>
      </c>
    </row>
    <row r="213" spans="1:4" hidden="1">
      <c r="B213" t="str">
        <f t="shared" si="100"/>
        <v/>
      </c>
      <c r="C213">
        <f t="shared" si="101"/>
        <v>0</v>
      </c>
      <c r="D213">
        <f>'Сводная информация'!$C$8</f>
        <v>1</v>
      </c>
    </row>
    <row r="214" spans="1:4" hidden="1">
      <c r="B214" t="str">
        <f t="shared" si="100"/>
        <v/>
      </c>
      <c r="C214">
        <f t="shared" si="101"/>
        <v>0</v>
      </c>
      <c r="D214">
        <f>'Сводная информация'!$C$8</f>
        <v>1</v>
      </c>
    </row>
    <row r="215" spans="1:4" hidden="1">
      <c r="B215" t="str">
        <f t="shared" si="100"/>
        <v/>
      </c>
      <c r="C215">
        <f t="shared" si="101"/>
        <v>0</v>
      </c>
      <c r="D215">
        <f>'Сводная информация'!$C$8</f>
        <v>1</v>
      </c>
    </row>
    <row r="216" spans="1:4" hidden="1">
      <c r="B216" t="str">
        <f t="shared" si="100"/>
        <v/>
      </c>
      <c r="C216">
        <f t="shared" si="101"/>
        <v>0</v>
      </c>
      <c r="D216">
        <f>'Сводная информация'!$C$8</f>
        <v>1</v>
      </c>
    </row>
    <row r="217" spans="1:4" hidden="1">
      <c r="B217" t="str">
        <f>L18</f>
        <v/>
      </c>
      <c r="C217">
        <f>M18</f>
        <v>0</v>
      </c>
      <c r="D217">
        <f>IFERROR('Сводная информация'!$C$8*L17,0)</f>
        <v>0</v>
      </c>
    </row>
    <row r="218" spans="1:4" hidden="1">
      <c r="B218" t="str">
        <f>L20</f>
        <v/>
      </c>
      <c r="C218">
        <f>M20</f>
        <v>0</v>
      </c>
      <c r="D218">
        <f>IFERROR('Сводная информация'!$C$8*L19,0)</f>
        <v>0</v>
      </c>
    </row>
    <row r="219" spans="1:4" hidden="1">
      <c r="B219" t="str">
        <f>L22</f>
        <v/>
      </c>
      <c r="C219">
        <f>M22</f>
        <v>0</v>
      </c>
      <c r="D219">
        <f>IFERROR('Сводная информация'!$C$8*L21,0)</f>
        <v>0</v>
      </c>
    </row>
    <row r="220" spans="1:4" hidden="1">
      <c r="B220" t="str">
        <f>L24</f>
        <v/>
      </c>
      <c r="C220">
        <f>M24</f>
        <v>0</v>
      </c>
      <c r="D220">
        <f>IFERROR('Сводная информация'!$C$8*L23,0)</f>
        <v>0</v>
      </c>
    </row>
    <row r="221" spans="1:4" hidden="1">
      <c r="B221" t="str">
        <f>L26</f>
        <v/>
      </c>
      <c r="C221">
        <f>M26</f>
        <v>0</v>
      </c>
      <c r="D221">
        <f>IFERROR('Сводная информация'!$C$8*L25,0)</f>
        <v>0</v>
      </c>
    </row>
    <row r="222" spans="1:4" hidden="1">
      <c r="B222" t="str">
        <f>L28</f>
        <v/>
      </c>
      <c r="C222">
        <f>M28</f>
        <v>0</v>
      </c>
      <c r="D222">
        <f>IFERROR('Сводная информация'!$C$8*L27,0)</f>
        <v>0</v>
      </c>
    </row>
    <row r="223" spans="1:4" hidden="1">
      <c r="A223">
        <v>7</v>
      </c>
      <c r="B223" t="str">
        <f t="shared" ref="B223:B226" si="102">N2</f>
        <v>РВФЗ-10/1000</v>
      </c>
      <c r="C223">
        <f t="shared" ref="C223:C226" si="103">O2</f>
        <v>34320</v>
      </c>
      <c r="D223">
        <f>'Сводная информация'!$C$9</f>
        <v>1</v>
      </c>
    </row>
    <row r="224" spans="1:4" hidden="1">
      <c r="B224" t="str">
        <f t="shared" si="102"/>
        <v/>
      </c>
      <c r="C224">
        <f t="shared" si="103"/>
        <v>0</v>
      </c>
      <c r="D224">
        <f>'Сводная информация'!$C$9</f>
        <v>1</v>
      </c>
    </row>
    <row r="225" spans="2:4" hidden="1">
      <c r="B225" t="str">
        <f t="shared" si="102"/>
        <v/>
      </c>
      <c r="C225">
        <f t="shared" si="103"/>
        <v>0</v>
      </c>
      <c r="D225">
        <f>'Сводная информация'!$C$9</f>
        <v>1</v>
      </c>
    </row>
    <row r="226" spans="2:4" hidden="1">
      <c r="B226" t="str">
        <f t="shared" si="102"/>
        <v/>
      </c>
      <c r="C226">
        <f t="shared" si="103"/>
        <v>0</v>
      </c>
      <c r="D226">
        <f>'Сводная информация'!$C$9</f>
        <v>1</v>
      </c>
    </row>
    <row r="227" spans="2:4" hidden="1">
      <c r="B227" t="str">
        <f t="shared" ref="B227:C233" si="104">N7</f>
        <v/>
      </c>
      <c r="C227">
        <f t="shared" si="104"/>
        <v>0</v>
      </c>
      <c r="D227">
        <f>IFERROR('Сводная информация'!$C$9*N6,0)</f>
        <v>0</v>
      </c>
    </row>
    <row r="228" spans="2:4" hidden="1">
      <c r="B228" t="str">
        <f t="shared" si="104"/>
        <v/>
      </c>
      <c r="C228">
        <f t="shared" si="104"/>
        <v>0</v>
      </c>
      <c r="D228">
        <f>'Сводная информация'!$C$9</f>
        <v>1</v>
      </c>
    </row>
    <row r="229" spans="2:4" hidden="1">
      <c r="B229" t="str">
        <f t="shared" si="104"/>
        <v/>
      </c>
      <c r="C229">
        <f t="shared" si="104"/>
        <v>0</v>
      </c>
      <c r="D229">
        <f>'Сводная информация'!$C$9</f>
        <v>1</v>
      </c>
    </row>
    <row r="230" spans="2:4" hidden="1">
      <c r="B230" t="str">
        <f t="shared" si="104"/>
        <v/>
      </c>
      <c r="C230">
        <f t="shared" si="104"/>
        <v>0</v>
      </c>
      <c r="D230">
        <f>'Сводная информация'!$C$9</f>
        <v>1</v>
      </c>
    </row>
    <row r="231" spans="2:4" hidden="1">
      <c r="B231" t="str">
        <f t="shared" si="104"/>
        <v/>
      </c>
      <c r="C231">
        <f t="shared" si="104"/>
        <v>0</v>
      </c>
      <c r="D231">
        <f>'Сводная информация'!$C$9</f>
        <v>1</v>
      </c>
    </row>
    <row r="232" spans="2:4" hidden="1">
      <c r="B232" t="str">
        <f t="shared" si="104"/>
        <v/>
      </c>
      <c r="C232">
        <f t="shared" si="104"/>
        <v>0</v>
      </c>
      <c r="D232">
        <f>'Сводная информация'!$C$9</f>
        <v>1</v>
      </c>
    </row>
    <row r="233" spans="2:4" hidden="1">
      <c r="B233" t="str">
        <f t="shared" si="104"/>
        <v/>
      </c>
      <c r="C233">
        <f t="shared" si="104"/>
        <v>0</v>
      </c>
      <c r="D233">
        <f>'Сводная информация'!$C$9</f>
        <v>1</v>
      </c>
    </row>
    <row r="234" spans="2:4" hidden="1">
      <c r="B234" t="str">
        <f>N16</f>
        <v/>
      </c>
      <c r="C234">
        <f>O16</f>
        <v>0</v>
      </c>
      <c r="D234">
        <f>'Сводная информация'!$C$9</f>
        <v>1</v>
      </c>
    </row>
    <row r="235" spans="2:4" hidden="1">
      <c r="B235" t="str">
        <f>N18</f>
        <v/>
      </c>
      <c r="C235">
        <f>O18</f>
        <v>0</v>
      </c>
      <c r="D235">
        <f>IFERROR('Сводная информация'!$C$8*N17,0)</f>
        <v>0</v>
      </c>
    </row>
    <row r="236" spans="2:4" hidden="1">
      <c r="B236" t="str">
        <f>N20</f>
        <v/>
      </c>
      <c r="C236">
        <f>O20</f>
        <v>0</v>
      </c>
      <c r="D236">
        <f>IFERROR('Сводная информация'!$C$8*N19,0)</f>
        <v>0</v>
      </c>
    </row>
    <row r="237" spans="2:4" hidden="1">
      <c r="B237" t="str">
        <f>N22</f>
        <v/>
      </c>
      <c r="C237">
        <f>O22</f>
        <v>0</v>
      </c>
      <c r="D237">
        <f>IFERROR('Сводная информация'!$C$8*N21,0)</f>
        <v>0</v>
      </c>
    </row>
    <row r="238" spans="2:4" hidden="1">
      <c r="B238" t="str">
        <f>N24</f>
        <v/>
      </c>
      <c r="C238">
        <f>O24</f>
        <v>0</v>
      </c>
      <c r="D238">
        <f>IFERROR('Сводная информация'!$C$8*N23,0)</f>
        <v>0</v>
      </c>
    </row>
    <row r="239" spans="2:4" hidden="1">
      <c r="B239" t="str">
        <f>N26</f>
        <v/>
      </c>
      <c r="C239">
        <f>O26</f>
        <v>0</v>
      </c>
      <c r="D239">
        <f>IFERROR('Сводная информация'!$C$8*N25,0)</f>
        <v>0</v>
      </c>
    </row>
    <row r="240" spans="2:4" hidden="1">
      <c r="B240" t="str">
        <f>N28</f>
        <v/>
      </c>
      <c r="C240">
        <f>O28</f>
        <v>0</v>
      </c>
      <c r="D240">
        <f>IFERROR('Сводная информация'!$C$8*N27,0)</f>
        <v>0</v>
      </c>
    </row>
    <row r="241" spans="1:4" hidden="1">
      <c r="A241">
        <v>8</v>
      </c>
      <c r="B241" t="str">
        <f t="shared" ref="B241:B244" si="105">P2</f>
        <v/>
      </c>
      <c r="C241">
        <f t="shared" ref="C241:C244" si="106">Q2</f>
        <v>1</v>
      </c>
      <c r="D241">
        <f>'Сводная информация'!$C$10</f>
        <v>0</v>
      </c>
    </row>
    <row r="242" spans="1:4" hidden="1">
      <c r="B242" t="str">
        <f t="shared" si="105"/>
        <v/>
      </c>
      <c r="C242">
        <f t="shared" si="106"/>
        <v>0</v>
      </c>
      <c r="D242">
        <f>'Сводная информация'!$C$10</f>
        <v>0</v>
      </c>
    </row>
    <row r="243" spans="1:4" hidden="1">
      <c r="B243" t="str">
        <f t="shared" si="105"/>
        <v/>
      </c>
      <c r="C243">
        <f t="shared" si="106"/>
        <v>0</v>
      </c>
      <c r="D243">
        <f>'Сводная информация'!$C$10</f>
        <v>0</v>
      </c>
    </row>
    <row r="244" spans="1:4" hidden="1">
      <c r="B244" t="str">
        <f t="shared" si="105"/>
        <v/>
      </c>
      <c r="C244">
        <f t="shared" si="106"/>
        <v>0</v>
      </c>
      <c r="D244">
        <f>'Сводная информация'!$C$10</f>
        <v>0</v>
      </c>
    </row>
    <row r="245" spans="1:4" hidden="1">
      <c r="B245" t="str">
        <f t="shared" ref="B245:C251" si="107">P7</f>
        <v/>
      </c>
      <c r="C245">
        <f t="shared" si="107"/>
        <v>0</v>
      </c>
      <c r="D245">
        <f>IFERROR('Сводная информация'!$C$10*P6,0)</f>
        <v>0</v>
      </c>
    </row>
    <row r="246" spans="1:4" hidden="1">
      <c r="B246" t="str">
        <f t="shared" si="107"/>
        <v/>
      </c>
      <c r="C246">
        <f t="shared" si="107"/>
        <v>0</v>
      </c>
      <c r="D246">
        <f>'Сводная информация'!$C$10</f>
        <v>0</v>
      </c>
    </row>
    <row r="247" spans="1:4" hidden="1">
      <c r="B247" t="str">
        <f t="shared" si="107"/>
        <v/>
      </c>
      <c r="C247">
        <f t="shared" si="107"/>
        <v>0</v>
      </c>
      <c r="D247">
        <f>'Сводная информация'!$C$10</f>
        <v>0</v>
      </c>
    </row>
    <row r="248" spans="1:4" hidden="1">
      <c r="B248" t="str">
        <f t="shared" si="107"/>
        <v/>
      </c>
      <c r="C248">
        <f t="shared" si="107"/>
        <v>0</v>
      </c>
      <c r="D248">
        <f>'Сводная информация'!$C$10</f>
        <v>0</v>
      </c>
    </row>
    <row r="249" spans="1:4" hidden="1">
      <c r="B249" t="str">
        <f t="shared" si="107"/>
        <v/>
      </c>
      <c r="C249">
        <f t="shared" si="107"/>
        <v>0</v>
      </c>
      <c r="D249">
        <f>'Сводная информация'!$C$10</f>
        <v>0</v>
      </c>
    </row>
    <row r="250" spans="1:4" hidden="1">
      <c r="B250" t="str">
        <f t="shared" si="107"/>
        <v/>
      </c>
      <c r="C250">
        <f t="shared" si="107"/>
        <v>0</v>
      </c>
      <c r="D250">
        <f>'Сводная информация'!$C$10</f>
        <v>0</v>
      </c>
    </row>
    <row r="251" spans="1:4" hidden="1">
      <c r="B251" t="str">
        <f t="shared" si="107"/>
        <v/>
      </c>
      <c r="C251">
        <f t="shared" si="107"/>
        <v>0</v>
      </c>
      <c r="D251">
        <f>'Сводная информация'!$C$10</f>
        <v>0</v>
      </c>
    </row>
    <row r="252" spans="1:4" hidden="1">
      <c r="B252" t="str">
        <f>P16</f>
        <v/>
      </c>
      <c r="C252">
        <f>Q16</f>
        <v>0</v>
      </c>
      <c r="D252">
        <f>'Сводная информация'!$C$10</f>
        <v>0</v>
      </c>
    </row>
    <row r="253" spans="1:4" hidden="1">
      <c r="B253" t="str">
        <f>P18</f>
        <v/>
      </c>
      <c r="C253">
        <f>Q18</f>
        <v>0</v>
      </c>
      <c r="D253">
        <f>IFERROR('Сводная информация'!$C$10*P17,0)</f>
        <v>0</v>
      </c>
    </row>
    <row r="254" spans="1:4" hidden="1">
      <c r="B254" t="str">
        <f>P20</f>
        <v/>
      </c>
      <c r="C254">
        <f>Q20</f>
        <v>0</v>
      </c>
      <c r="D254">
        <f>IFERROR('Сводная информация'!$C$10*P19,0)</f>
        <v>0</v>
      </c>
    </row>
    <row r="255" spans="1:4" hidden="1">
      <c r="B255" t="str">
        <f>P22</f>
        <v/>
      </c>
      <c r="C255">
        <f>Q22</f>
        <v>0</v>
      </c>
      <c r="D255">
        <f>IFERROR('Сводная информация'!$C$10*P21,0)</f>
        <v>0</v>
      </c>
    </row>
    <row r="256" spans="1:4" hidden="1">
      <c r="B256" t="str">
        <f>P24</f>
        <v/>
      </c>
      <c r="C256">
        <f>Q24</f>
        <v>0</v>
      </c>
      <c r="D256">
        <f>IFERROR('Сводная информация'!$C$10*P23,0)</f>
        <v>0</v>
      </c>
    </row>
    <row r="257" spans="1:4" hidden="1">
      <c r="B257" t="str">
        <f>P26</f>
        <v/>
      </c>
      <c r="C257">
        <f>Q26</f>
        <v>0</v>
      </c>
      <c r="D257">
        <f>IFERROR('Сводная информация'!$C$10*P25,0)</f>
        <v>0</v>
      </c>
    </row>
    <row r="258" spans="1:4" hidden="1">
      <c r="B258" t="str">
        <f>P28</f>
        <v/>
      </c>
      <c r="C258">
        <f>Q28</f>
        <v>0</v>
      </c>
      <c r="D258">
        <f>IFERROR('Сводная информация'!$C$10*P27,0)</f>
        <v>0</v>
      </c>
    </row>
    <row r="259" spans="1:4" hidden="1">
      <c r="A259">
        <v>9</v>
      </c>
      <c r="B259" t="str">
        <f t="shared" ref="B259:B262" si="108">R2</f>
        <v/>
      </c>
      <c r="C259">
        <f t="shared" ref="C259:C262" si="109">S2</f>
        <v>1</v>
      </c>
      <c r="D259">
        <f>'Сводная информация'!$C$11</f>
        <v>0</v>
      </c>
    </row>
    <row r="260" spans="1:4" hidden="1">
      <c r="B260" t="str">
        <f t="shared" si="108"/>
        <v/>
      </c>
      <c r="C260">
        <f t="shared" si="109"/>
        <v>0</v>
      </c>
      <c r="D260">
        <f>'Сводная информация'!$C$11</f>
        <v>0</v>
      </c>
    </row>
    <row r="261" spans="1:4" hidden="1">
      <c r="B261" t="str">
        <f t="shared" si="108"/>
        <v/>
      </c>
      <c r="C261">
        <f t="shared" si="109"/>
        <v>0</v>
      </c>
      <c r="D261">
        <f>'Сводная информация'!$C$11</f>
        <v>0</v>
      </c>
    </row>
    <row r="262" spans="1:4" hidden="1">
      <c r="B262" t="str">
        <f t="shared" si="108"/>
        <v/>
      </c>
      <c r="C262">
        <f t="shared" si="109"/>
        <v>0</v>
      </c>
      <c r="D262">
        <f>'Сводная информация'!$C$11</f>
        <v>0</v>
      </c>
    </row>
    <row r="263" spans="1:4" hidden="1">
      <c r="B263" t="str">
        <f t="shared" ref="B263:C269" si="110">R7</f>
        <v/>
      </c>
      <c r="C263">
        <f t="shared" si="110"/>
        <v>0</v>
      </c>
      <c r="D263">
        <f>IFERROR('Сводная информация'!$C$11*R6,0)</f>
        <v>0</v>
      </c>
    </row>
    <row r="264" spans="1:4" hidden="1">
      <c r="B264" t="str">
        <f t="shared" si="110"/>
        <v/>
      </c>
      <c r="C264">
        <f t="shared" si="110"/>
        <v>0</v>
      </c>
      <c r="D264">
        <f>'Сводная информация'!$C$11</f>
        <v>0</v>
      </c>
    </row>
    <row r="265" spans="1:4" hidden="1">
      <c r="B265" t="str">
        <f t="shared" si="110"/>
        <v/>
      </c>
      <c r="C265">
        <f t="shared" si="110"/>
        <v>0</v>
      </c>
      <c r="D265">
        <f>'Сводная информация'!$C$11</f>
        <v>0</v>
      </c>
    </row>
    <row r="266" spans="1:4" hidden="1">
      <c r="B266" t="str">
        <f t="shared" si="110"/>
        <v/>
      </c>
      <c r="C266">
        <f t="shared" si="110"/>
        <v>0</v>
      </c>
      <c r="D266">
        <f>'Сводная информация'!$C$11</f>
        <v>0</v>
      </c>
    </row>
    <row r="267" spans="1:4" hidden="1">
      <c r="B267" t="str">
        <f t="shared" si="110"/>
        <v/>
      </c>
      <c r="C267">
        <f t="shared" si="110"/>
        <v>0</v>
      </c>
      <c r="D267">
        <f>'Сводная информация'!$C$11</f>
        <v>0</v>
      </c>
    </row>
    <row r="268" spans="1:4" hidden="1">
      <c r="B268" t="str">
        <f t="shared" si="110"/>
        <v/>
      </c>
      <c r="C268">
        <f t="shared" si="110"/>
        <v>0</v>
      </c>
      <c r="D268">
        <f>'Сводная информация'!$C$11</f>
        <v>0</v>
      </c>
    </row>
    <row r="269" spans="1:4" hidden="1">
      <c r="B269" t="str">
        <f t="shared" si="110"/>
        <v/>
      </c>
      <c r="C269">
        <f t="shared" si="110"/>
        <v>0</v>
      </c>
      <c r="D269">
        <f>'Сводная информация'!$C$11</f>
        <v>0</v>
      </c>
    </row>
    <row r="270" spans="1:4" hidden="1">
      <c r="B270" t="str">
        <f>R16</f>
        <v/>
      </c>
      <c r="C270">
        <f>S16</f>
        <v>0</v>
      </c>
      <c r="D270">
        <f>'Сводная информация'!$C$11</f>
        <v>0</v>
      </c>
    </row>
    <row r="271" spans="1:4" hidden="1">
      <c r="B271" t="str">
        <f>R18</f>
        <v/>
      </c>
      <c r="C271">
        <f>S18</f>
        <v>0</v>
      </c>
      <c r="D271">
        <f>IFERROR('Сводная информация'!$C$11*R17,0)</f>
        <v>0</v>
      </c>
    </row>
    <row r="272" spans="1:4" hidden="1">
      <c r="B272" t="str">
        <f>R20</f>
        <v/>
      </c>
      <c r="C272">
        <f>S20</f>
        <v>0</v>
      </c>
      <c r="D272">
        <f>IFERROR('Сводная информация'!$C$11*R19,0)</f>
        <v>0</v>
      </c>
    </row>
    <row r="273" spans="1:4" hidden="1">
      <c r="B273" t="str">
        <f>R22</f>
        <v/>
      </c>
      <c r="C273">
        <f>S22</f>
        <v>0</v>
      </c>
      <c r="D273">
        <f>IFERROR('Сводная информация'!$C$11*R21,0)</f>
        <v>0</v>
      </c>
    </row>
    <row r="274" spans="1:4" hidden="1">
      <c r="B274" t="str">
        <f>R24</f>
        <v/>
      </c>
      <c r="C274">
        <f>S24</f>
        <v>0</v>
      </c>
      <c r="D274">
        <f>IFERROR('Сводная информация'!$C$11*R23,0)</f>
        <v>0</v>
      </c>
    </row>
    <row r="275" spans="1:4" hidden="1">
      <c r="B275" t="str">
        <f>R26</f>
        <v/>
      </c>
      <c r="C275">
        <f>S26</f>
        <v>0</v>
      </c>
      <c r="D275">
        <f>IFERROR('Сводная информация'!$C$11*R25,0)</f>
        <v>0</v>
      </c>
    </row>
    <row r="276" spans="1:4" hidden="1">
      <c r="B276" t="str">
        <f>R28</f>
        <v/>
      </c>
      <c r="C276">
        <f>S28</f>
        <v>0</v>
      </c>
      <c r="D276">
        <f>IFERROR('Сводная информация'!$C$11*R27,0)</f>
        <v>0</v>
      </c>
    </row>
    <row r="277" spans="1:4" hidden="1">
      <c r="A277">
        <v>10</v>
      </c>
      <c r="B277" t="str">
        <f t="shared" ref="B277:B280" si="111">T2</f>
        <v/>
      </c>
      <c r="C277">
        <f t="shared" ref="C277:C280" si="112">U2</f>
        <v>1</v>
      </c>
      <c r="D277">
        <f>'Сводная информация'!$C$12</f>
        <v>0</v>
      </c>
    </row>
    <row r="278" spans="1:4" hidden="1">
      <c r="B278" t="str">
        <f t="shared" si="111"/>
        <v/>
      </c>
      <c r="C278">
        <f t="shared" si="112"/>
        <v>0</v>
      </c>
      <c r="D278">
        <f>'Сводная информация'!$C$12</f>
        <v>0</v>
      </c>
    </row>
    <row r="279" spans="1:4" hidden="1">
      <c r="B279" t="str">
        <f t="shared" si="111"/>
        <v/>
      </c>
      <c r="C279">
        <f t="shared" si="112"/>
        <v>0</v>
      </c>
      <c r="D279">
        <f>'Сводная информация'!$C$12</f>
        <v>0</v>
      </c>
    </row>
    <row r="280" spans="1:4" hidden="1">
      <c r="B280" t="str">
        <f t="shared" si="111"/>
        <v/>
      </c>
      <c r="C280">
        <f t="shared" si="112"/>
        <v>0</v>
      </c>
      <c r="D280">
        <f>'Сводная информация'!$C$12</f>
        <v>0</v>
      </c>
    </row>
    <row r="281" spans="1:4" hidden="1">
      <c r="B281" t="str">
        <f t="shared" ref="B281:C287" si="113">T7</f>
        <v/>
      </c>
      <c r="C281">
        <f t="shared" si="113"/>
        <v>0</v>
      </c>
      <c r="D281">
        <f>IFERROR('Сводная информация'!$C$12*T6,0)</f>
        <v>0</v>
      </c>
    </row>
    <row r="282" spans="1:4" hidden="1">
      <c r="B282" t="str">
        <f t="shared" si="113"/>
        <v/>
      </c>
      <c r="C282">
        <f t="shared" si="113"/>
        <v>0</v>
      </c>
      <c r="D282">
        <f>'Сводная информация'!$C$12</f>
        <v>0</v>
      </c>
    </row>
    <row r="283" spans="1:4" hidden="1">
      <c r="B283" t="str">
        <f t="shared" si="113"/>
        <v/>
      </c>
      <c r="C283">
        <f t="shared" si="113"/>
        <v>0</v>
      </c>
      <c r="D283">
        <f>'Сводная информация'!$C$12</f>
        <v>0</v>
      </c>
    </row>
    <row r="284" spans="1:4" hidden="1">
      <c r="B284" t="str">
        <f t="shared" si="113"/>
        <v/>
      </c>
      <c r="C284">
        <f t="shared" si="113"/>
        <v>0</v>
      </c>
      <c r="D284">
        <f>'Сводная информация'!$C$12</f>
        <v>0</v>
      </c>
    </row>
    <row r="285" spans="1:4" hidden="1">
      <c r="B285" t="str">
        <f t="shared" si="113"/>
        <v/>
      </c>
      <c r="C285">
        <f t="shared" si="113"/>
        <v>0</v>
      </c>
      <c r="D285">
        <f>'Сводная информация'!$C$12</f>
        <v>0</v>
      </c>
    </row>
    <row r="286" spans="1:4" hidden="1">
      <c r="B286" t="str">
        <f t="shared" si="113"/>
        <v/>
      </c>
      <c r="C286">
        <f t="shared" si="113"/>
        <v>0</v>
      </c>
      <c r="D286">
        <f>'Сводная информация'!$C$12</f>
        <v>0</v>
      </c>
    </row>
    <row r="287" spans="1:4" hidden="1">
      <c r="B287" t="str">
        <f t="shared" si="113"/>
        <v/>
      </c>
      <c r="C287">
        <f t="shared" si="113"/>
        <v>0</v>
      </c>
      <c r="D287">
        <f>'Сводная информация'!$C$12</f>
        <v>0</v>
      </c>
    </row>
    <row r="288" spans="1:4" hidden="1">
      <c r="B288" t="str">
        <f>T16</f>
        <v/>
      </c>
      <c r="C288">
        <f>U16</f>
        <v>0</v>
      </c>
      <c r="D288">
        <f>'Сводная информация'!$C$12</f>
        <v>0</v>
      </c>
    </row>
    <row r="289" spans="2:4" hidden="1">
      <c r="B289" t="str">
        <f>T18</f>
        <v/>
      </c>
      <c r="C289">
        <f>U18</f>
        <v>0</v>
      </c>
      <c r="D289">
        <f>IFERROR('Сводная информация'!$C$12*T17,0)</f>
        <v>0</v>
      </c>
    </row>
    <row r="290" spans="2:4" hidden="1">
      <c r="B290" t="str">
        <f>T20</f>
        <v/>
      </c>
      <c r="C290">
        <f>U20</f>
        <v>0</v>
      </c>
      <c r="D290">
        <f>IFERROR('Сводная информация'!$C$12*T19,0)</f>
        <v>0</v>
      </c>
    </row>
    <row r="291" spans="2:4" hidden="1">
      <c r="B291" t="str">
        <f>T22</f>
        <v/>
      </c>
      <c r="C291">
        <f>U22</f>
        <v>0</v>
      </c>
      <c r="D291">
        <f>IFERROR('Сводная информация'!$C$12*T21,0)</f>
        <v>0</v>
      </c>
    </row>
    <row r="292" spans="2:4" hidden="1">
      <c r="B292" t="str">
        <f>T24</f>
        <v/>
      </c>
      <c r="C292">
        <f>U24</f>
        <v>0</v>
      </c>
      <c r="D292">
        <f>IFERROR('Сводная информация'!$C$12*T23,0)</f>
        <v>0</v>
      </c>
    </row>
    <row r="293" spans="2:4" hidden="1">
      <c r="B293" t="str">
        <f>T26</f>
        <v/>
      </c>
      <c r="C293">
        <f>U26</f>
        <v>0</v>
      </c>
      <c r="D293">
        <f>IFERROR('Сводная информация'!$C$12*T25,0)</f>
        <v>0</v>
      </c>
    </row>
    <row r="294" spans="2:4" hidden="1">
      <c r="B294" t="str">
        <f>T28</f>
        <v/>
      </c>
      <c r="C294">
        <f>U28</f>
        <v>0</v>
      </c>
      <c r="D294">
        <f>IFERROR('Сводная информация'!$C$12*T27,0)</f>
        <v>0</v>
      </c>
    </row>
    <row r="295" spans="2:4" hidden="1"/>
  </sheetData>
  <dataConsolidate leftLabels="1" topLabels="1">
    <dataRefs count="10">
      <dataRef ref="B1:C28" sheet="расчет"/>
      <dataRef ref="D1:E28" sheet="расчет"/>
      <dataRef ref="F1:G28" sheet="расчет"/>
      <dataRef ref="H1:I28" sheet="расчет"/>
      <dataRef ref="J1:K28" sheet="расчет"/>
      <dataRef ref="L1:M28" sheet="расчет"/>
      <dataRef ref="N1:O28" sheet="расчет"/>
      <dataRef ref="P1:Q28" sheet="расчет"/>
      <dataRef ref="R1:S28" sheet="расчет"/>
      <dataRef ref="T1:U28" sheet="расчет"/>
    </dataRefs>
  </dataConsolidate>
  <mergeCells count="1">
    <mergeCell ref="F54:H54"/>
  </mergeCells>
  <pageMargins left="0.7" right="0.7" top="0.75" bottom="0.75" header="0.3" footer="0.3"/>
  <pageSetup paperSize="9" orientation="portrait" verticalDpi="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12</vt:i4>
      </vt:variant>
    </vt:vector>
  </HeadingPairs>
  <TitlesOfParts>
    <vt:vector size="17" baseType="lpstr">
      <vt:lpstr>КСО-204</vt:lpstr>
      <vt:lpstr>Сводная информация</vt:lpstr>
      <vt:lpstr>Прайсы</vt:lpstr>
      <vt:lpstr>Лист3</vt:lpstr>
      <vt:lpstr>расчет</vt:lpstr>
      <vt:lpstr>Блокуправления</vt:lpstr>
      <vt:lpstr>Выкл</vt:lpstr>
      <vt:lpstr>Доп</vt:lpstr>
      <vt:lpstr>МПЗ</vt:lpstr>
      <vt:lpstr>ОПН</vt:lpstr>
      <vt:lpstr>ПТ</vt:lpstr>
      <vt:lpstr>Разъединитель</vt:lpstr>
      <vt:lpstr>Счетчик10</vt:lpstr>
      <vt:lpstr>ТН</vt:lpstr>
      <vt:lpstr>Трансформатортока</vt:lpstr>
      <vt:lpstr>ТСН</vt:lpstr>
      <vt:lpstr>ТТнулевойпоследлвательности</vt:lpstr>
    </vt:vector>
  </TitlesOfParts>
  <Company>MЭTK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Торчин</dc:creator>
  <cp:lastModifiedBy>Торчин Антон Евгеньевич</cp:lastModifiedBy>
  <cp:lastPrinted>2012-04-26T07:15:35Z</cp:lastPrinted>
  <dcterms:created xsi:type="dcterms:W3CDTF">2004-12-02T11:27:03Z</dcterms:created>
  <dcterms:modified xsi:type="dcterms:W3CDTF">2026-01-28T08:39:21Z</dcterms:modified>
</cp:coreProperties>
</file>